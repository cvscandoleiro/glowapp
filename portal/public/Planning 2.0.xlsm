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Default Extension="jpg" ContentType="image/p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5.xml" ContentType="application/vnd.openxmlformats-officedocument.drawingml.chart+xml"/>
  <Override PartName="/xl/drawings/drawing8.xml" ContentType="application/vnd.openxmlformats-officedocument.drawingml.chartshapes+xml"/>
  <Override PartName="/xl/charts/chart6.xml" ContentType="application/vnd.openxmlformats-officedocument.drawingml.chart+xml"/>
  <Override PartName="/xl/drawings/drawing9.xml" ContentType="application/vnd.openxmlformats-officedocument.drawingml.chartshapes+xml"/>
  <Override PartName="/xl/drawings/drawing10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1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5.xml" ContentType="application/vnd.openxmlformats-officedocument.spreadsheetml.table+xml"/>
  <Override PartName="/xl/drawings/drawing12.xml" ContentType="application/vnd.openxmlformats-officedocument.drawing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drawings/drawing1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1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7.xml" ContentType="application/vnd.openxmlformats-officedocument.drawingml.chart+xml"/>
  <Override PartName="/xl/drawings/drawing15.xml" ContentType="application/vnd.openxmlformats-officedocument.drawingml.chartshapes+xml"/>
  <Override PartName="/xl/drawings/drawing16.xml" ContentType="application/vnd.openxmlformats-officedocument.drawing+xml"/>
  <Override PartName="/xl/tables/table10.xml" ContentType="application/vnd.openxmlformats-officedocument.spreadsheetml.table+xml"/>
  <Override PartName="/xl/drawings/drawing17.xml" ContentType="application/vnd.openxmlformats-officedocument.drawing+xml"/>
  <Override PartName="/xl/ctrlProps/ctrlProp3.xml" ContentType="application/vnd.ms-excel.controlproperties+xml"/>
  <Override PartName="/xl/tables/table11.xml" ContentType="application/vnd.openxmlformats-officedocument.spreadsheetml.table+xml"/>
  <Override PartName="/xl/drawings/drawing18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19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D:\Planning 2.0\"/>
    </mc:Choice>
  </mc:AlternateContent>
  <bookViews>
    <workbookView showSheetTabs="0" xWindow="6645" yWindow="4290" windowWidth="21600" windowHeight="11295" activeTab="11"/>
  </bookViews>
  <sheets>
    <sheet name="Home" sheetId="14" r:id="rId1"/>
    <sheet name="Colors" sheetId="12" r:id="rId2"/>
    <sheet name="Summary" sheetId="23" r:id="rId3"/>
    <sheet name="Dashboard" sheetId="22" r:id="rId4"/>
    <sheet name="LayoutCardKanban" sheetId="24" r:id="rId5"/>
    <sheet name="Parametros" sheetId="10" r:id="rId6"/>
    <sheet name="Feriados" sheetId="8" r:id="rId7"/>
    <sheet name="CalendarioRelease" sheetId="7" r:id="rId8"/>
    <sheet name="Backlog" sheetId="13" r:id="rId9"/>
    <sheet name="Squad" sheetId="2" r:id="rId10"/>
    <sheet name="PreviaPlanning" sheetId="16" r:id="rId11"/>
    <sheet name="DataTarefas" sheetId="11" r:id="rId12"/>
    <sheet name="Planning" sheetId="3" r:id="rId13"/>
    <sheet name="KanbanBoard" sheetId="21" r:id="rId14"/>
  </sheets>
  <functionGroups builtInGroupCount="18"/>
  <externalReferences>
    <externalReference r:id="rId15"/>
  </externalReferences>
  <definedNames>
    <definedName name="_xlcn.WorksheetConnection_Planningv2.xlsmtblTaks1" hidden="1">tblTaks</definedName>
    <definedName name="_xlcn.WorksheetConnection_Planningv2.xlsmtblTasksTimes1" hidden="1">tblTasksTimes[]</definedName>
    <definedName name="_xlcn.WorksheetConnection_Planningv2_Apresentação29092023.xlsmtblSummaryReeleasePlanning1" hidden="1">tblSummaryReeleasePlanning</definedName>
    <definedName name="AtualizadoTI">'[1]2.1 Teste Integrado (Gráficos)'!$U$2</definedName>
  </definedNames>
  <calcPr calcId="162913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lSummaryReeleasePlanning" name="tblSummaryReeleasePlanning" connection="WorksheetConnection_Planningv2_Apresentação29092023.xlsm!tblSummaryReeleasePlanning"/>
          <x15:modelTable id="tblTasksTimes" name="tblTasksTimes" connection="WorksheetConnection_Planningv2.xlsm!tblTasksTimes"/>
          <x15:modelTable id="tblTaks" name="tblTaks" connection="WorksheetConnection_Planningv2.xlsm!tblTaks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7" l="1"/>
  <c r="U183" i="13" l="1"/>
  <c r="U182" i="13"/>
  <c r="U181" i="13"/>
  <c r="U180" i="13"/>
  <c r="U179" i="13"/>
  <c r="U178" i="13"/>
  <c r="U177" i="13"/>
  <c r="U176" i="13"/>
  <c r="U175" i="13"/>
  <c r="U174" i="13"/>
  <c r="U173" i="13"/>
  <c r="U172" i="13"/>
  <c r="U171" i="13"/>
  <c r="U170" i="13"/>
  <c r="U169" i="13"/>
  <c r="U168" i="13"/>
  <c r="U167" i="13"/>
  <c r="U166" i="13"/>
  <c r="U165" i="13"/>
  <c r="U164" i="13"/>
  <c r="U163" i="13"/>
  <c r="U162" i="13"/>
  <c r="U161" i="13"/>
  <c r="U160" i="13"/>
  <c r="U159" i="13"/>
  <c r="U158" i="13"/>
  <c r="U157" i="13"/>
  <c r="U156" i="13"/>
  <c r="U155" i="13"/>
  <c r="U154" i="13"/>
  <c r="U153" i="13"/>
  <c r="U152" i="13"/>
  <c r="U151" i="13"/>
  <c r="U150" i="13"/>
  <c r="U149" i="13"/>
  <c r="U148" i="13"/>
  <c r="U147" i="13"/>
  <c r="U146" i="13"/>
  <c r="U145" i="13"/>
  <c r="U144" i="13"/>
  <c r="U143" i="13"/>
  <c r="U142" i="13"/>
  <c r="U141" i="13"/>
  <c r="U140" i="13"/>
  <c r="U139" i="13"/>
  <c r="U138" i="13"/>
  <c r="U137" i="13"/>
  <c r="U136" i="13"/>
  <c r="U135" i="13"/>
  <c r="U134" i="13"/>
  <c r="U133" i="13"/>
  <c r="U132" i="13"/>
  <c r="U131" i="13"/>
  <c r="U130" i="13"/>
  <c r="U129" i="13"/>
  <c r="U128" i="13"/>
  <c r="U127" i="13"/>
  <c r="U126" i="13"/>
  <c r="U125" i="13"/>
  <c r="U124" i="13"/>
  <c r="U123" i="13"/>
  <c r="U122" i="13"/>
  <c r="U121" i="13"/>
  <c r="U120" i="13"/>
  <c r="U119" i="13"/>
  <c r="U118" i="13"/>
  <c r="U117" i="13"/>
  <c r="U116" i="13"/>
  <c r="U115" i="13"/>
  <c r="U114" i="13"/>
  <c r="U113" i="13"/>
  <c r="U112" i="13"/>
  <c r="U111" i="13"/>
  <c r="U110" i="13"/>
  <c r="U109" i="13"/>
  <c r="U108" i="13"/>
  <c r="U107" i="13"/>
  <c r="U106" i="13"/>
  <c r="U105" i="13"/>
  <c r="U104" i="13"/>
  <c r="U103" i="13"/>
  <c r="U102" i="13"/>
  <c r="U101" i="13"/>
  <c r="U100" i="13"/>
  <c r="U99" i="13"/>
  <c r="U98" i="13"/>
  <c r="U97" i="13"/>
  <c r="U96" i="13"/>
  <c r="U95" i="13"/>
  <c r="U94" i="13"/>
  <c r="U93" i="13"/>
  <c r="U92" i="13"/>
  <c r="U91" i="13"/>
  <c r="U90" i="13"/>
  <c r="U89" i="13"/>
  <c r="U88" i="13"/>
  <c r="U87" i="13"/>
  <c r="U86" i="13"/>
  <c r="U85" i="13"/>
  <c r="U84" i="13"/>
  <c r="U83" i="13"/>
  <c r="U82" i="13"/>
  <c r="U81" i="13"/>
  <c r="U80" i="13"/>
  <c r="U79" i="13"/>
  <c r="U78" i="13"/>
  <c r="U77" i="13"/>
  <c r="U76" i="13"/>
  <c r="U75" i="13"/>
  <c r="U74" i="13"/>
  <c r="U73" i="13"/>
  <c r="U72" i="13"/>
  <c r="U71" i="13"/>
  <c r="U70" i="13"/>
  <c r="U69" i="13"/>
  <c r="U68" i="13"/>
  <c r="U67" i="13"/>
  <c r="U66" i="13"/>
  <c r="U65" i="13"/>
  <c r="U64" i="13"/>
  <c r="U63" i="13"/>
  <c r="U62" i="13"/>
  <c r="U61" i="13"/>
  <c r="U60" i="13"/>
  <c r="U59" i="13"/>
  <c r="U58" i="13"/>
  <c r="U57" i="13"/>
  <c r="U56" i="13"/>
  <c r="U55" i="13"/>
  <c r="U54" i="13"/>
  <c r="U53" i="13"/>
  <c r="U52" i="13"/>
  <c r="U51" i="13"/>
  <c r="U50" i="13"/>
  <c r="U49" i="13"/>
  <c r="U48" i="13"/>
  <c r="U47" i="13"/>
  <c r="U46" i="13"/>
  <c r="U45" i="13"/>
  <c r="U44" i="13"/>
  <c r="U43" i="13"/>
  <c r="U42" i="13"/>
  <c r="U41" i="13"/>
  <c r="U40" i="13"/>
  <c r="U39" i="13"/>
  <c r="U38" i="13"/>
  <c r="U37" i="13"/>
  <c r="U36" i="13"/>
  <c r="U35" i="13"/>
  <c r="U34" i="13"/>
  <c r="U33" i="13"/>
  <c r="U32" i="13"/>
  <c r="U31" i="13"/>
  <c r="U30" i="13"/>
  <c r="U29" i="13"/>
  <c r="U28" i="13"/>
  <c r="U27" i="13"/>
  <c r="U26" i="13"/>
  <c r="U25" i="13"/>
  <c r="U24" i="13"/>
  <c r="U23" i="13"/>
  <c r="U22" i="13"/>
  <c r="U21" i="13"/>
  <c r="U20" i="13"/>
  <c r="U19" i="13"/>
  <c r="U18" i="13"/>
  <c r="U17" i="13"/>
  <c r="U16" i="13"/>
  <c r="U15" i="13"/>
  <c r="U14" i="13"/>
  <c r="U13" i="13"/>
  <c r="U12" i="13"/>
  <c r="U11" i="13"/>
  <c r="U10" i="13"/>
  <c r="U9" i="13"/>
  <c r="U8" i="13"/>
  <c r="U7" i="13"/>
  <c r="U6" i="13"/>
  <c r="U5" i="13"/>
  <c r="U4" i="13"/>
  <c r="U3" i="13"/>
  <c r="C19" i="8" l="1"/>
  <c r="C18" i="8"/>
  <c r="C17" i="8"/>
  <c r="C16" i="8"/>
  <c r="C15" i="8" l="1"/>
  <c r="C14" i="8"/>
  <c r="C13" i="8"/>
  <c r="C12" i="8"/>
  <c r="C11" i="8"/>
  <c r="C9" i="8" l="1"/>
  <c r="C10" i="8"/>
  <c r="C5" i="8" l="1"/>
  <c r="C8" i="8" l="1"/>
  <c r="C7" i="8"/>
  <c r="C6" i="8"/>
  <c r="C4" i="8"/>
  <c r="B13" i="23" l="1"/>
  <c r="C9" i="23"/>
  <c r="F2" i="23" s="1"/>
  <c r="E3" i="23"/>
  <c r="B3" i="23"/>
  <c r="E2" i="23"/>
  <c r="B2" i="23"/>
  <c r="F3" i="23" l="1"/>
  <c r="C10" i="23"/>
  <c r="C11" i="23" s="1"/>
  <c r="C12" i="23" s="1"/>
</calcChain>
</file>

<file path=xl/comments1.xml><?xml version="1.0" encoding="utf-8"?>
<comments xmlns="http://schemas.openxmlformats.org/spreadsheetml/2006/main">
  <authors>
    <author>Vieira Scandoleiro, Claudemir</author>
  </authors>
  <commentList>
    <comment ref="D2" authorId="0" shapeId="0">
      <text>
        <r>
          <rPr>
            <b/>
            <sz val="9"/>
            <color indexed="81"/>
            <rFont val="Segoe UI"/>
            <family val="2"/>
          </rPr>
          <t>Vieira Scandoleiro, Claudemir:</t>
        </r>
        <r>
          <rPr>
            <sz val="9"/>
            <color indexed="81"/>
            <rFont val="Segoe UI"/>
            <family val="2"/>
          </rPr>
          <t xml:space="preserve">
Quantidade de dias corridos (Data Final - Data Inicial)</t>
        </r>
      </text>
    </comment>
  </commentList>
</comments>
</file>

<file path=xl/comments2.xml><?xml version="1.0" encoding="utf-8"?>
<comments xmlns="http://schemas.openxmlformats.org/spreadsheetml/2006/main">
  <authors>
    <author>Nelson Tavares Hoffmann</author>
    <author>Marcos Santos</author>
    <author>Fabiana Vardanega da Silva</author>
    <author>Pedro Kraemer</author>
  </authors>
  <commentList>
    <comment ref="A2" authorId="0" shapeId="0">
      <text>
        <r>
          <rPr>
            <b/>
            <u/>
            <sz val="9"/>
            <color indexed="81"/>
            <rFont val="Tahoma"/>
            <family val="2"/>
          </rPr>
          <t>ID:</t>
        </r>
        <r>
          <rPr>
            <sz val="9"/>
            <color indexed="81"/>
            <rFont val="Tahoma"/>
            <family val="2"/>
          </rPr>
          <t xml:space="preserve">
ID da História de Usuário, conforme cadastrada na ferramenta de controle.
Deve incluir um link para o registro da História na ferramenta Jira DEV.</t>
        </r>
      </text>
    </comment>
    <comment ref="C2" authorId="0" shapeId="0">
      <text>
        <r>
          <rPr>
            <b/>
            <u/>
            <sz val="9"/>
            <color indexed="81"/>
            <rFont val="Tahoma"/>
            <family val="2"/>
          </rPr>
          <t>TEMA:</t>
        </r>
        <r>
          <rPr>
            <sz val="9"/>
            <color indexed="81"/>
            <rFont val="Tahoma"/>
            <family val="2"/>
          </rPr>
          <t xml:space="preserve">
Nome do sub-processo. O mesmo que Tema de Negócio.</t>
        </r>
      </text>
    </comment>
    <comment ref="D2" authorId="0" shapeId="0">
      <text>
        <r>
          <rPr>
            <b/>
            <u/>
            <sz val="9"/>
            <color indexed="81"/>
            <rFont val="Tahoma"/>
            <family val="2"/>
          </rPr>
          <t>ÉPICO:</t>
        </r>
        <r>
          <rPr>
            <sz val="9"/>
            <color indexed="81"/>
            <rFont val="Tahoma"/>
            <family val="2"/>
          </rPr>
          <t xml:space="preserve">
Descrição do Épico que expressa uma ou mais funcionalidades esperadas pelo cliente sobre um determinado Tema de Negócio. 
Corresponde a uma grande História de Usuário (um grupo de Hiistórias de Usuários).
Estrutura geral: Como [papel/cargo/função] desejo/quero/preciso [objeto].
</t>
        </r>
      </text>
    </comment>
    <comment ref="F2" authorId="1" shapeId="0">
      <text>
        <r>
          <rPr>
            <b/>
            <u/>
            <sz val="9"/>
            <color indexed="81"/>
            <rFont val="Tahoma"/>
            <family val="2"/>
          </rPr>
          <t>CRITÉRIOS DE ACEITE DO USUÁRIO: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Descrição dos críterios de aceite do usuário (maneira de demonstrar que o objetivo da história foi cumprido) dos quais deverão ser validados e aprovados antes da entrega em produção.
Caso, no momento do envio do TA de Escopo e Planejamento da Release, as histórias de usuários não estejam maduras o suficiente para terem os critérios de aceites detalhados, estes podem ser escritos no Product Backlog no nível de Tema.</t>
        </r>
      </text>
    </comment>
    <comment ref="G2" authorId="0" shapeId="0">
      <text>
        <r>
          <rPr>
            <b/>
            <u/>
            <sz val="9"/>
            <color indexed="81"/>
            <rFont val="Tahoma"/>
            <family val="2"/>
          </rPr>
          <t>HISTÓRIA DE USUÁRIO:</t>
        </r>
        <r>
          <rPr>
            <sz val="9"/>
            <color indexed="81"/>
            <rFont val="Tahoma"/>
            <family val="2"/>
          </rPr>
          <t xml:space="preserve">
Nome da História de Usuário.
Estrutura geral: Como [papel/cargo/função] desejo/quero/preciso [objeto], pois/poirque [razão].
</t>
        </r>
      </text>
    </comment>
    <comment ref="J2" authorId="0" shapeId="0">
      <text>
        <r>
          <rPr>
            <b/>
            <u/>
            <sz val="9"/>
            <color indexed="81"/>
            <rFont val="Tahoma"/>
            <family val="2"/>
          </rPr>
          <t xml:space="preserve">ESCOPO DA HISTÓRIA:
</t>
        </r>
        <r>
          <rPr>
            <sz val="9"/>
            <color indexed="81"/>
            <rFont val="Tahoma"/>
            <family val="2"/>
          </rPr>
          <t xml:space="preserve">
Deve conter a descrição do escopo da história (o que a história irá entregar).
</t>
        </r>
        <r>
          <rPr>
            <b/>
            <sz val="9"/>
            <color indexed="81"/>
            <rFont val="Tahoma"/>
            <family val="2"/>
          </rPr>
          <t>ATENÇÃO:</t>
        </r>
        <r>
          <rPr>
            <sz val="9"/>
            <color indexed="81"/>
            <rFont val="Tahoma"/>
            <family val="2"/>
          </rPr>
          <t xml:space="preserve"> Ítens iniciados pelo símbolo </t>
        </r>
        <r>
          <rPr>
            <b/>
            <sz val="9"/>
            <color indexed="81"/>
            <rFont val="Tahoma"/>
            <family val="2"/>
          </rPr>
          <t># (hash)</t>
        </r>
        <r>
          <rPr>
            <sz val="9"/>
            <color indexed="81"/>
            <rFont val="Tahoma"/>
            <family val="2"/>
          </rPr>
          <t xml:space="preserve"> tratam de funcionalidade que será desenvolvida com MOCKUP, ou FAKE, etc, e será necessário rebuild posterior.
</t>
        </r>
      </text>
    </comment>
    <comment ref="K2" authorId="0" shapeId="0">
      <text>
        <r>
          <rPr>
            <b/>
            <u/>
            <sz val="9"/>
            <color indexed="81"/>
            <rFont val="Tahoma"/>
            <family val="2"/>
          </rPr>
          <t>RELEASE:</t>
        </r>
        <r>
          <rPr>
            <sz val="9"/>
            <color indexed="81"/>
            <rFont val="Tahoma"/>
            <family val="2"/>
          </rPr>
          <t xml:space="preserve">
Release em que a História será entregue.
</t>
        </r>
      </text>
    </comment>
    <comment ref="L2" authorId="0" shapeId="0">
      <text>
        <r>
          <rPr>
            <b/>
            <u/>
            <sz val="9"/>
            <color indexed="81"/>
            <rFont val="Tahoma"/>
            <family val="2"/>
          </rPr>
          <t>SPRINT:</t>
        </r>
        <r>
          <rPr>
            <sz val="9"/>
            <color indexed="81"/>
            <rFont val="Tahoma"/>
            <family val="2"/>
          </rPr>
          <t xml:space="preserve">
Sprint em que a História será entregue.
</t>
        </r>
      </text>
    </comment>
    <comment ref="M2" authorId="0" shapeId="0">
      <text>
        <r>
          <rPr>
            <b/>
            <u/>
            <sz val="9"/>
            <color indexed="81"/>
            <rFont val="Tahoma"/>
            <family val="2"/>
          </rPr>
          <t>PRIORIDADE:</t>
        </r>
        <r>
          <rPr>
            <sz val="9"/>
            <color indexed="81"/>
            <rFont val="Tahoma"/>
            <family val="2"/>
          </rPr>
          <t xml:space="preserve">
Define a prioridade que a história possui em relação às demais histórias do Product Backlog.
Esta prioridade pode ser estabelecida com base em um "contrato" (vide aba </t>
        </r>
        <r>
          <rPr>
            <b/>
            <sz val="9"/>
            <color indexed="81"/>
            <rFont val="Tahoma"/>
            <family val="2"/>
          </rPr>
          <t>Contrato</t>
        </r>
        <r>
          <rPr>
            <sz val="9"/>
            <color indexed="81"/>
            <rFont val="Tahoma"/>
            <family val="2"/>
          </rPr>
          <t xml:space="preserve">), que estabelece características das histórias.
Pode ser o próprio </t>
        </r>
        <r>
          <rPr>
            <b/>
            <sz val="9"/>
            <color indexed="81"/>
            <rFont val="Tahoma"/>
            <family val="2"/>
          </rPr>
          <t>BVP</t>
        </r>
        <r>
          <rPr>
            <sz val="9"/>
            <color indexed="81"/>
            <rFont val="Tahoma"/>
            <family val="2"/>
          </rPr>
          <t xml:space="preserve"> (Business Value Points - Pontos de Valor para o Negócio), um </t>
        </r>
        <r>
          <rPr>
            <b/>
            <sz val="9"/>
            <color indexed="81"/>
            <rFont val="Tahoma"/>
            <family val="2"/>
          </rPr>
          <t>número sequencial</t>
        </r>
        <r>
          <rPr>
            <sz val="9"/>
            <color indexed="81"/>
            <rFont val="Tahoma"/>
            <family val="2"/>
          </rPr>
          <t xml:space="preserve">, ou a </t>
        </r>
        <r>
          <rPr>
            <b/>
            <sz val="9"/>
            <color indexed="81"/>
            <rFont val="Tahoma"/>
            <family val="2"/>
          </rPr>
          <t>ordem de execução</t>
        </r>
        <r>
          <rPr>
            <sz val="9"/>
            <color indexed="81"/>
            <rFont val="Tahoma"/>
            <family val="2"/>
          </rPr>
          <t xml:space="preserve"> das histórias dentro da Release.
</t>
        </r>
      </text>
    </comment>
    <comment ref="O2" authorId="0" shapeId="0">
      <text>
        <r>
          <rPr>
            <b/>
            <u/>
            <sz val="9"/>
            <color indexed="81"/>
            <rFont val="Tahoma"/>
            <family val="2"/>
          </rPr>
          <t>PC FUNCIONAL:</t>
        </r>
        <r>
          <rPr>
            <sz val="9"/>
            <color indexed="81"/>
            <rFont val="Tahoma"/>
            <family val="2"/>
          </rPr>
          <t xml:space="preserve">
Quantidade de Pontos de Complexidade (</t>
        </r>
        <r>
          <rPr>
            <b/>
            <sz val="9"/>
            <color indexed="81"/>
            <rFont val="Tahoma"/>
            <family val="2"/>
          </rPr>
          <t>PC</t>
        </r>
        <r>
          <rPr>
            <sz val="9"/>
            <color indexed="81"/>
            <rFont val="Tahoma"/>
            <family val="2"/>
          </rPr>
          <t xml:space="preserve">) estimados para as atividades de Especificação Funcional e/ou documentação do/s sistema/s envolvido/s na História.
A escala utilizada deve ser Fibonacci limitada ao grau </t>
        </r>
        <r>
          <rPr>
            <b/>
            <sz val="9"/>
            <color indexed="81"/>
            <rFont val="Tahoma"/>
            <family val="2"/>
          </rPr>
          <t>21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>Política Explícita:</t>
        </r>
        <r>
          <rPr>
            <sz val="9"/>
            <color indexed="81"/>
            <rFont val="Tahoma"/>
            <family val="2"/>
          </rPr>
          <t xml:space="preserve"> a pontuação 21 indica Histórias que não se encontram em "ready" e deverão ser melhor detalhadas pelo Product Owner.</t>
        </r>
      </text>
    </comment>
    <comment ref="P2" authorId="0" shapeId="0">
      <text>
        <r>
          <rPr>
            <b/>
            <u/>
            <sz val="9"/>
            <color indexed="81"/>
            <rFont val="Tahoma"/>
            <family val="2"/>
          </rPr>
          <t>PC TECNOLOGIA:</t>
        </r>
        <r>
          <rPr>
            <sz val="9"/>
            <color indexed="81"/>
            <rFont val="Tahoma"/>
            <family val="2"/>
          </rPr>
          <t xml:space="preserve">
Quantidade de Pontos de Complexidade (</t>
        </r>
        <r>
          <rPr>
            <b/>
            <sz val="9"/>
            <color indexed="81"/>
            <rFont val="Tahoma"/>
            <family val="2"/>
          </rPr>
          <t>PC</t>
        </r>
        <r>
          <rPr>
            <sz val="9"/>
            <color indexed="81"/>
            <rFont val="Tahoma"/>
            <family val="2"/>
          </rPr>
          <t xml:space="preserve">) estimados para as atividades de build (incluindo testes unitários) para uma tecnologia envolvida na História.
A escala utilizada deve ser Fibonacci limitada ao grau 21.
Substituir a palavra "Tecnologia" pelo nome de uma aplicação ou disciplina. Ex.: Siebel, GPS, Integração.
</t>
        </r>
        <r>
          <rPr>
            <b/>
            <sz val="9"/>
            <color indexed="81"/>
            <rFont val="Tahoma"/>
            <family val="2"/>
          </rPr>
          <t>Política Explícita:</t>
        </r>
        <r>
          <rPr>
            <sz val="9"/>
            <color indexed="81"/>
            <rFont val="Tahoma"/>
            <family val="2"/>
          </rPr>
          <t xml:space="preserve"> a pontuação 21 indica Histórias que não se encontram em "ready" e deverão ser melhor detalhadas pelo Product Owner ou que há falta de definição técnica da solução.
</t>
        </r>
      </text>
    </comment>
    <comment ref="Q2" authorId="0" shapeId="0">
      <text>
        <r>
          <rPr>
            <b/>
            <u/>
            <sz val="9"/>
            <color indexed="81"/>
            <rFont val="Tahoma"/>
            <family val="2"/>
          </rPr>
          <t>PC TECNOLOGIA:</t>
        </r>
        <r>
          <rPr>
            <sz val="9"/>
            <color indexed="81"/>
            <rFont val="Tahoma"/>
            <family val="2"/>
          </rPr>
          <t xml:space="preserve">
Quantidade de Pontos de Complexidade (</t>
        </r>
        <r>
          <rPr>
            <b/>
            <sz val="9"/>
            <color indexed="81"/>
            <rFont val="Tahoma"/>
            <family val="2"/>
          </rPr>
          <t>PC</t>
        </r>
        <r>
          <rPr>
            <sz val="9"/>
            <color indexed="81"/>
            <rFont val="Tahoma"/>
            <family val="2"/>
          </rPr>
          <t xml:space="preserve">) estimados para as atividades de build (incluindo testes unitários) para uma tecnologia envolvida na História.
A escala utilizada deve ser Fibonacci limitada ao grau 21.
Substituir a palavra "Tecnologia" pelo nome de uma aplicação ou disciplina. Ex.: Siebel, GPS, Integração.
</t>
        </r>
        <r>
          <rPr>
            <b/>
            <sz val="9"/>
            <color indexed="81"/>
            <rFont val="Tahoma"/>
            <family val="2"/>
          </rPr>
          <t>Política Explícita:</t>
        </r>
        <r>
          <rPr>
            <sz val="9"/>
            <color indexed="81"/>
            <rFont val="Tahoma"/>
            <family val="2"/>
          </rPr>
          <t xml:space="preserve"> a pontuação 21 indica Histórias que não se encontram em "ready" e deverão ser melhor detalhadas pelo Product Owner ou que há falta de definição técnica da solução.
</t>
        </r>
      </text>
    </comment>
    <comment ref="S2" authorId="0" shapeId="0">
      <text>
        <r>
          <rPr>
            <b/>
            <u/>
            <sz val="9"/>
            <color indexed="81"/>
            <rFont val="Tahoma"/>
            <family val="2"/>
          </rPr>
          <t>PC TECNOLOGIA:</t>
        </r>
        <r>
          <rPr>
            <sz val="9"/>
            <color indexed="81"/>
            <rFont val="Tahoma"/>
            <family val="2"/>
          </rPr>
          <t xml:space="preserve">
Quantidade de Pontos de Complexidade (</t>
        </r>
        <r>
          <rPr>
            <b/>
            <sz val="9"/>
            <color indexed="81"/>
            <rFont val="Tahoma"/>
            <family val="2"/>
          </rPr>
          <t>PC</t>
        </r>
        <r>
          <rPr>
            <sz val="9"/>
            <color indexed="81"/>
            <rFont val="Tahoma"/>
            <family val="2"/>
          </rPr>
          <t xml:space="preserve">) estimados para as atividades de build (incluindo testes unitários) para uma tecnologia envolvida na História.
A escala utilizada deve ser Fibonacci limitada ao grau 21.
Substituir a palavra "Tecnologia" pelo nome de uma aplicação ou disciplina. Ex.: Siebel, GPS, Integração.
</t>
        </r>
        <r>
          <rPr>
            <b/>
            <sz val="9"/>
            <color indexed="81"/>
            <rFont val="Tahoma"/>
            <family val="2"/>
          </rPr>
          <t>Política Explícita:</t>
        </r>
        <r>
          <rPr>
            <sz val="9"/>
            <color indexed="81"/>
            <rFont val="Tahoma"/>
            <family val="2"/>
          </rPr>
          <t xml:space="preserve"> a pontuação 21 indica Histórias que não se encontram em "ready" e deverão ser melhor detalhadas pelo Product Owner ou que há falta de definição técnica da solução.
</t>
        </r>
      </text>
    </comment>
    <comment ref="T2" authorId="0" shapeId="0">
      <text>
        <r>
          <rPr>
            <b/>
            <u/>
            <sz val="9"/>
            <color indexed="81"/>
            <rFont val="Tahoma"/>
            <family val="2"/>
          </rPr>
          <t>PC QA:</t>
        </r>
        <r>
          <rPr>
            <sz val="9"/>
            <color indexed="81"/>
            <rFont val="Tahoma"/>
            <family val="2"/>
          </rPr>
          <t xml:space="preserve">
Quantidade de Pontos de Complexidade (</t>
        </r>
        <r>
          <rPr>
            <b/>
            <sz val="9"/>
            <color indexed="81"/>
            <rFont val="Tahoma"/>
            <family val="2"/>
          </rPr>
          <t>PC</t>
        </r>
        <r>
          <rPr>
            <sz val="9"/>
            <color indexed="81"/>
            <rFont val="Tahoma"/>
            <family val="2"/>
          </rPr>
          <t xml:space="preserve">) estimados para as atividades de Quality Assurance da História.
A escala utilizada deve ser Fibonacci limitada ao grau 21.
</t>
        </r>
        <r>
          <rPr>
            <b/>
            <sz val="9"/>
            <color indexed="81"/>
            <rFont val="Tahoma"/>
            <family val="2"/>
          </rPr>
          <t>Política Explícita:</t>
        </r>
        <r>
          <rPr>
            <sz val="9"/>
            <color indexed="81"/>
            <rFont val="Tahoma"/>
            <family val="2"/>
          </rPr>
          <t xml:space="preserve"> a pontuação 21 indica Histórias que não se encontram em "ready" e deverão ser melhor detalhadas pelo Product Owner  ou que há falta de definição técnica da solução.
</t>
        </r>
      </text>
    </comment>
    <comment ref="U2" authorId="0" shapeId="0">
      <text>
        <r>
          <rPr>
            <b/>
            <u/>
            <sz val="9"/>
            <color indexed="81"/>
            <rFont val="Tahoma"/>
            <family val="2"/>
          </rPr>
          <t>PC TOTAL:</t>
        </r>
        <r>
          <rPr>
            <sz val="9"/>
            <color indexed="81"/>
            <rFont val="Tahoma"/>
            <family val="2"/>
          </rPr>
          <t xml:space="preserve">
Soma das colunas contendo Pontos de Complexidade (</t>
        </r>
        <r>
          <rPr>
            <b/>
            <sz val="9"/>
            <color indexed="81"/>
            <rFont val="Tahoma"/>
            <family val="2"/>
          </rPr>
          <t>PC</t>
        </r>
        <r>
          <rPr>
            <sz val="9"/>
            <color indexed="81"/>
            <rFont val="Tahoma"/>
            <family val="2"/>
          </rPr>
          <t>): Funcional, Tecnologias (1 a n) e QA.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u/>
            <sz val="9"/>
            <color indexed="81"/>
            <rFont val="Tahoma"/>
            <family val="2"/>
          </rPr>
          <t>ATENÇÃO:</t>
        </r>
        <r>
          <rPr>
            <sz val="9"/>
            <color indexed="81"/>
            <rFont val="Tahoma"/>
            <family val="2"/>
          </rPr>
          <t xml:space="preserve"> Alterar a fórmula caso seja incluída nova coluna para "TECNOLOGIA".</t>
        </r>
      </text>
    </comment>
    <comment ref="V2" authorId="2" shapeId="0">
      <text>
        <r>
          <rPr>
            <b/>
            <u/>
            <sz val="9"/>
            <color indexed="81"/>
            <rFont val="Tahoma"/>
            <family val="2"/>
          </rPr>
          <t xml:space="preserve">STATUS MATURIDADE:
</t>
        </r>
        <r>
          <rPr>
            <sz val="9"/>
            <color indexed="81"/>
            <rFont val="Tahoma"/>
            <family val="2"/>
          </rPr>
          <t xml:space="preserve">
Indica qual o status de maturidade que a História se encontra.
Os possíveis status que devem ser utilizados são:
</t>
        </r>
        <r>
          <rPr>
            <b/>
            <sz val="9"/>
            <color indexed="81"/>
            <rFont val="Tahoma"/>
            <family val="2"/>
          </rPr>
          <t>Aberto</t>
        </r>
        <r>
          <rPr>
            <sz val="9"/>
            <color indexed="81"/>
            <rFont val="Tahoma"/>
            <family val="2"/>
          </rPr>
          <t xml:space="preserve"> = Não iniciado o Grooming.
</t>
        </r>
        <r>
          <rPr>
            <b/>
            <sz val="9"/>
            <color indexed="81"/>
            <rFont val="Tahoma"/>
            <family val="2"/>
          </rPr>
          <t>Pendente</t>
        </r>
        <r>
          <rPr>
            <sz val="9"/>
            <color indexed="81"/>
            <rFont val="Tahoma"/>
            <family val="2"/>
          </rPr>
          <t xml:space="preserve"> = Iniciou o Grooming mas não finalizou, existe alguma pendência.
</t>
        </r>
        <r>
          <rPr>
            <b/>
            <sz val="9"/>
            <color indexed="81"/>
            <rFont val="Tahoma"/>
            <family val="2"/>
          </rPr>
          <t>Pontuado</t>
        </r>
        <r>
          <rPr>
            <sz val="9"/>
            <color indexed="81"/>
            <rFont val="Tahoma"/>
            <family val="2"/>
          </rPr>
          <t xml:space="preserve"> = Grooming Finalizado e história pontuada.
</t>
        </r>
        <r>
          <rPr>
            <b/>
            <sz val="9"/>
            <color indexed="81"/>
            <rFont val="Tahoma"/>
            <family val="2"/>
          </rPr>
          <t>Cancelado</t>
        </r>
        <r>
          <rPr>
            <sz val="9"/>
            <color indexed="81"/>
            <rFont val="Tahoma"/>
            <family val="2"/>
          </rPr>
          <t xml:space="preserve"> = História não faz mais parte do escopo.</t>
        </r>
      </text>
    </comment>
    <comment ref="W2" authorId="0" shapeId="0">
      <text>
        <r>
          <rPr>
            <b/>
            <u/>
            <sz val="9"/>
            <color indexed="81"/>
            <rFont val="Tahoma"/>
            <family val="2"/>
          </rPr>
          <t xml:space="preserve">OBSERVAÇÕES OU PENDÊNCIAS:
</t>
        </r>
        <r>
          <rPr>
            <sz val="9"/>
            <color indexed="81"/>
            <rFont val="Tahoma"/>
            <family val="2"/>
          </rPr>
          <t>Qualquer observação ou pendências, de qualquer natureza,</t>
        </r>
        <r>
          <rPr>
            <u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identificada pelo Product Owner a respeito da História de Usuário.
</t>
        </r>
      </text>
    </comment>
    <comment ref="X2" authorId="3" shapeId="0">
      <text>
        <r>
          <rPr>
            <b/>
            <u/>
            <sz val="9"/>
            <color indexed="81"/>
            <rFont val="Tahoma"/>
            <family val="2"/>
          </rPr>
          <t xml:space="preserve">DEPENDÊNCIA ENTRE HISTÓRIAS:
</t>
        </r>
        <r>
          <rPr>
            <sz val="9"/>
            <color indexed="81"/>
            <rFont val="Tahoma"/>
            <family val="2"/>
          </rPr>
          <t>Indica dependência de execução de desenvolvimento ou testes entre diferentes Histórias.
Preencher com o ID da História com a qual esta História depende.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Planningv2.xlsm!tblTaks" type="102" refreshedVersion="6" minRefreshableVersion="5">
    <extLst>
      <ext xmlns:x15="http://schemas.microsoft.com/office/spreadsheetml/2010/11/main" uri="{DE250136-89BD-433C-8126-D09CA5730AF9}">
        <x15:connection id="tblTaks">
          <x15:rangePr sourceName="_xlcn.WorksheetConnection_Planningv2.xlsmtblTaks1"/>
        </x15:connection>
      </ext>
    </extLst>
  </connection>
  <connection id="3" name="WorksheetConnection_Planningv2.xlsm!tblTasksTimes" type="102" refreshedVersion="6" minRefreshableVersion="5">
    <extLst>
      <ext xmlns:x15="http://schemas.microsoft.com/office/spreadsheetml/2010/11/main" uri="{DE250136-89BD-433C-8126-D09CA5730AF9}">
        <x15:connection id="tblTasksTimes">
          <x15:rangePr sourceName="_xlcn.WorksheetConnection_Planningv2.xlsmtblTasksTimes1"/>
        </x15:connection>
      </ext>
    </extLst>
  </connection>
  <connection id="4" name="WorksheetConnection_Planningv2_Apresentação29092023.xlsm!tblSummaryReeleasePlanning" type="102" refreshedVersion="6" minRefreshableVersion="5">
    <extLst>
      <ext xmlns:x15="http://schemas.microsoft.com/office/spreadsheetml/2010/11/main" uri="{DE250136-89BD-433C-8126-D09CA5730AF9}">
        <x15:connection id="tblSummaryReeleasePlanning">
          <x15:rangePr sourceName="_xlcn.WorksheetConnection_Planningv2_Apresentação29092023.xlsmtblSummaryReeleasePlanning1"/>
        </x15:connection>
      </ext>
    </extLst>
  </connection>
</connections>
</file>

<file path=xl/sharedStrings.xml><?xml version="1.0" encoding="utf-8"?>
<sst xmlns="http://schemas.openxmlformats.org/spreadsheetml/2006/main" count="4788" uniqueCount="353">
  <si>
    <t>Periodo</t>
  </si>
  <si>
    <t>DataInicial</t>
  </si>
  <si>
    <t>DataFinal</t>
  </si>
  <si>
    <t>qua</t>
  </si>
  <si>
    <t>qui</t>
  </si>
  <si>
    <t>sex</t>
  </si>
  <si>
    <t>seg</t>
  </si>
  <si>
    <t>ter</t>
  </si>
  <si>
    <t>Color</t>
  </si>
  <si>
    <t>Perfil</t>
  </si>
  <si>
    <t>Nome</t>
  </si>
  <si>
    <t>Time</t>
  </si>
  <si>
    <t>Tarde</t>
  </si>
  <si>
    <t>Período</t>
  </si>
  <si>
    <t>Feriado</t>
  </si>
  <si>
    <t>Data</t>
  </si>
  <si>
    <t>Dia Semana</t>
  </si>
  <si>
    <t>Ano Novo</t>
  </si>
  <si>
    <t>Carnaval</t>
  </si>
  <si>
    <t>Corpus Christi</t>
  </si>
  <si>
    <t>Manha</t>
  </si>
  <si>
    <t>Sexta-Feira Santa</t>
  </si>
  <si>
    <t>idColor</t>
  </si>
  <si>
    <t>Cor Tarefas</t>
  </si>
  <si>
    <t>Task</t>
  </si>
  <si>
    <t>Escrita Funcional</t>
  </si>
  <si>
    <t>Distribuição</t>
  </si>
  <si>
    <t>Funcional</t>
  </si>
  <si>
    <t>IdBacklog</t>
  </si>
  <si>
    <t>idJira</t>
  </si>
  <si>
    <t>Sequence</t>
  </si>
  <si>
    <t>Sistema</t>
  </si>
  <si>
    <t>Sequencia</t>
  </si>
  <si>
    <t>Pontos</t>
  </si>
  <si>
    <t>DtFim</t>
  </si>
  <si>
    <t>idBacklog</t>
  </si>
  <si>
    <t>ProdSemana</t>
  </si>
  <si>
    <t>DistrxProd</t>
  </si>
  <si>
    <t>DtInicio</t>
  </si>
  <si>
    <t>Build</t>
  </si>
  <si>
    <t>TarefaPai</t>
  </si>
  <si>
    <t>Pts</t>
  </si>
  <si>
    <t>CapacidadeOcupada</t>
  </si>
  <si>
    <t>idTemplate</t>
  </si>
  <si>
    <t>Part_Time</t>
  </si>
  <si>
    <t>idJiraPendente</t>
  </si>
  <si>
    <t>AbreviacaoIdBacklog</t>
  </si>
  <si>
    <t>Prioridade</t>
  </si>
  <si>
    <t>Tarefas:</t>
  </si>
  <si>
    <t>Data Inicio:</t>
  </si>
  <si>
    <t>Data Fim:</t>
  </si>
  <si>
    <t>DOING</t>
  </si>
  <si>
    <t>DONE</t>
  </si>
  <si>
    <t>BACKLOG</t>
  </si>
  <si>
    <t>[idJira]</t>
  </si>
  <si>
    <t>[idBacklog]</t>
  </si>
  <si>
    <t>[DtInicio]</t>
  </si>
  <si>
    <t>[DtFim]</t>
  </si>
  <si>
    <t>Planning 2.0</t>
  </si>
  <si>
    <t>Quadro Kanban</t>
  </si>
  <si>
    <t>DtConclusao</t>
  </si>
  <si>
    <t>Nome do Projeto:</t>
  </si>
  <si>
    <t>Comentarios</t>
  </si>
  <si>
    <t>Total</t>
  </si>
  <si>
    <t>Duracao</t>
  </si>
  <si>
    <t xml:space="preserve"> </t>
  </si>
  <si>
    <t/>
  </si>
  <si>
    <t>Ruim</t>
  </si>
  <si>
    <t>Razoavel</t>
  </si>
  <si>
    <t>Bom</t>
  </si>
  <si>
    <t>Ótimo</t>
  </si>
  <si>
    <t>Descvelocity</t>
  </si>
  <si>
    <t>SliceVelocity</t>
  </si>
  <si>
    <t>Done</t>
  </si>
  <si>
    <t>Dev Done</t>
  </si>
  <si>
    <t>Planejado</t>
  </si>
  <si>
    <t>Percentual</t>
  </si>
  <si>
    <t>LaguraMarcador</t>
  </si>
  <si>
    <t>PosicaoMarcador</t>
  </si>
  <si>
    <t>NomeMarcador</t>
  </si>
  <si>
    <t>ValorInteiro</t>
  </si>
  <si>
    <t>Status</t>
  </si>
  <si>
    <t>BurnupItem</t>
  </si>
  <si>
    <t>TasksDone</t>
  </si>
  <si>
    <t>Escrita Funcional; ITS;Build;Validação</t>
  </si>
  <si>
    <t>ColunaDataTarefas</t>
  </si>
  <si>
    <t>[DtConclusao]</t>
  </si>
  <si>
    <t>[Done]</t>
  </si>
  <si>
    <t>DevDone</t>
  </si>
  <si>
    <t>DevPlan</t>
  </si>
  <si>
    <t>TotalBacklog</t>
  </si>
  <si>
    <t>Escrita Funcional; Escrita QA;ITS;Build;Validação;Execução QA</t>
  </si>
  <si>
    <t>[DevDone]</t>
  </si>
  <si>
    <t>ColunaValidacaoDataTarefas</t>
  </si>
  <si>
    <t>ValorPercentual</t>
  </si>
  <si>
    <t>Épico</t>
  </si>
  <si>
    <t>IDTEMPLATE</t>
  </si>
  <si>
    <t>Dependencia</t>
  </si>
  <si>
    <t>Produtividade_Semanal</t>
  </si>
  <si>
    <t>OSS Minsait</t>
  </si>
  <si>
    <t>Aniversario de SP</t>
  </si>
  <si>
    <t>Sprint 1</t>
  </si>
  <si>
    <t>ITS</t>
  </si>
  <si>
    <t>sab</t>
  </si>
  <si>
    <t>dom</t>
  </si>
  <si>
    <t>[Time]</t>
  </si>
  <si>
    <t>Perfil:</t>
  </si>
  <si>
    <t>[Perfil]</t>
  </si>
  <si>
    <t xml:space="preserve">Time: </t>
  </si>
  <si>
    <t>01. Maio</t>
  </si>
  <si>
    <t>Independência do Brasil</t>
  </si>
  <si>
    <t>Nossa Sra Aparecida</t>
  </si>
  <si>
    <t>Finados</t>
  </si>
  <si>
    <t>Proclamação da República</t>
  </si>
  <si>
    <t>Dia da Consciência Negra</t>
  </si>
  <si>
    <t>Squad</t>
  </si>
  <si>
    <t>Eduardo Ferrari</t>
  </si>
  <si>
    <t>01/fev/25</t>
  </si>
  <si>
    <t>02/fev/25</t>
  </si>
  <si>
    <t>Cards: 0   /   Pts: 0</t>
  </si>
  <si>
    <t>Natal</t>
  </si>
  <si>
    <t>ID JIRA VIVO</t>
  </si>
  <si>
    <t>Tema</t>
  </si>
  <si>
    <t>Requisitos</t>
  </si>
  <si>
    <t>Critérios de Aceite do Usuário</t>
  </si>
  <si>
    <t>História de Usuário</t>
  </si>
  <si>
    <t>Informações Complementares</t>
  </si>
  <si>
    <t>Anexos</t>
  </si>
  <si>
    <t>Escopo da História</t>
  </si>
  <si>
    <t>Release</t>
  </si>
  <si>
    <t>SEQUENCIA</t>
  </si>
  <si>
    <t>DEV</t>
  </si>
  <si>
    <t>Banco de Dados</t>
  </si>
  <si>
    <t>PC Tecnologia N</t>
  </si>
  <si>
    <t>PC QA</t>
  </si>
  <si>
    <t>PC Total</t>
  </si>
  <si>
    <t>Status Maturidade</t>
  </si>
  <si>
    <t>Observações ou Pendências</t>
  </si>
  <si>
    <t>Dependência entre Histórias</t>
  </si>
  <si>
    <t>JIR_01</t>
  </si>
  <si>
    <t>Renegociação de ERB com troca do Acesso (SWA)</t>
  </si>
  <si>
    <t>Reserva de Recursos</t>
  </si>
  <si>
    <t xml:space="preserve"> Com designador temporario (até o envio e consulta reservation) /  Validações Gerais (quebra 6)</t>
  </si>
  <si>
    <t>OSS</t>
  </si>
  <si>
    <t>JIR_02</t>
  </si>
  <si>
    <t xml:space="preserve"> Valida Reserva</t>
  </si>
  <si>
    <t xml:space="preserve"> Criação do designador temporario</t>
  </si>
  <si>
    <t>JIR_03</t>
  </si>
  <si>
    <t xml:space="preserve"> Consulta Facilidades TMF639 (até o envio e resposta do AvailabilityCheck com criação de estrutura L2Acess) /  Validações gerais  (quebra 9)</t>
  </si>
  <si>
    <t>JIR_04</t>
  </si>
  <si>
    <t>Cancela Reserva</t>
  </si>
  <si>
    <t xml:space="preserve"> Envio para o Netcopass</t>
  </si>
  <si>
    <t>JIR_05</t>
  </si>
  <si>
    <t xml:space="preserve"> Limpar estrutura do designador temporario</t>
  </si>
  <si>
    <t>JIR_06</t>
  </si>
  <si>
    <t>Alocação</t>
  </si>
  <si>
    <t xml:space="preserve"> Chamada para “Resource Inventory” do NetCompass TMF639 /  Armazenar no SI (quebra 13)</t>
  </si>
  <si>
    <t>JIR_07</t>
  </si>
  <si>
    <t xml:space="preserve"> Chamada para o Resource Inventory de OSS/TI TMF639</t>
  </si>
  <si>
    <t>JIR_08</t>
  </si>
  <si>
    <t>Desalocação</t>
  </si>
  <si>
    <t>Realizar a desalocação de Recursos OSS/TI TMF639</t>
  </si>
  <si>
    <t>JIR_09</t>
  </si>
  <si>
    <t>Realizar a desalocação de Recursos NETCOMPASS TMF639</t>
  </si>
  <si>
    <t>JIR_10</t>
  </si>
  <si>
    <t>Configuração</t>
  </si>
  <si>
    <t xml:space="preserve"> Realizar a chamada para o Resource Inventory de OSS/TI TMF639</t>
  </si>
  <si>
    <t>JIR_11</t>
  </si>
  <si>
    <t xml:space="preserve"> Chamada para “Resource Inventory” do NetCompass  TMF639 / Atualização do SI retorno da TMF639 (quebra 19)</t>
  </si>
  <si>
    <t>JIR_12</t>
  </si>
  <si>
    <t xml:space="preserve"> Create VIVOSWASUB criaçao da nova estrutura do Backhaul</t>
  </si>
  <si>
    <t>JIR_13</t>
  </si>
  <si>
    <t xml:space="preserve"> Delete VIVOSWASUB</t>
  </si>
  <si>
    <t>JIR_14</t>
  </si>
  <si>
    <t xml:space="preserve"> Create VIVOIATSUB criaçao da nova estrutura do Backhaul + campo novo para o HPSA</t>
  </si>
  <si>
    <t>JIR_15</t>
  </si>
  <si>
    <t xml:space="preserve"> Delete VIVOIATSUB </t>
  </si>
  <si>
    <t>JIR_16</t>
  </si>
  <si>
    <t xml:space="preserve"> Obtenção de Dados + Campo novo "SUBINTERFACELOGICA"</t>
  </si>
  <si>
    <t>JIR_17</t>
  </si>
  <si>
    <t xml:space="preserve"> Configuração CPE incluir o PE (novo) com (Shutdown) e envio para do comando SET para o HPSA e validações</t>
  </si>
  <si>
    <t>JIR_18</t>
  </si>
  <si>
    <t xml:space="preserve"> Configuração CPE retirar o PE (antigo) com (Shutdown) e envio para do comando SET para o HPSA e validações</t>
  </si>
  <si>
    <t>JIR_19</t>
  </si>
  <si>
    <t xml:space="preserve"> Cancelamento Configuração CPE (CancelUpgrade) </t>
  </si>
  <si>
    <t>JIR_20</t>
  </si>
  <si>
    <t xml:space="preserve"> Cancelamento Configuração CPE criar nova operação (CancelUpgrade)  incluir no PE (antigo) com (Shutdown) e envio para do comando SET para o HPSA e validações</t>
  </si>
  <si>
    <t>JIR_21</t>
  </si>
  <si>
    <t>Cancelamento Configuração CPE (CancelUpgrade)  retirar o PE (novo) com (Shutdown) e envio para do comando SET para o HPSA e validações</t>
  </si>
  <si>
    <t>JIR_22</t>
  </si>
  <si>
    <t>Instalação</t>
  </si>
  <si>
    <t>Planta interna - “Resource Inventory” do NetCompass TMF639</t>
  </si>
  <si>
    <t>JIR_23</t>
  </si>
  <si>
    <t>Desconexão Change</t>
  </si>
  <si>
    <t>Criar uma nova operação (Alterar TMF641) / Validações do recebimendo da TMF641 (quebra 32)</t>
  </si>
  <si>
    <t>JIR_24</t>
  </si>
  <si>
    <t>Desalocar a Planta Interna nos Inventários de OSS/TI, caso o PE/Router tenha modificado</t>
  </si>
  <si>
    <t>JIR_25</t>
  </si>
  <si>
    <t>Desalocar a Planta Interna nos Inventários do NetCompass</t>
  </si>
  <si>
    <t>JIR_26</t>
  </si>
  <si>
    <t>Desconfigurar o PE/Router, caso o PE/Router tenha modificado</t>
  </si>
  <si>
    <t>JIR_27</t>
  </si>
  <si>
    <t>Desconfigurar o SWA antigo.</t>
  </si>
  <si>
    <t>JIR_28</t>
  </si>
  <si>
    <t>Adequar as estruras L2Acess</t>
  </si>
  <si>
    <t>JIR_29</t>
  </si>
  <si>
    <t xml:space="preserve">Adequar as estruturas “peupgrade” </t>
  </si>
  <si>
    <t>JIR_30</t>
  </si>
  <si>
    <t>Adequar as estruturas “swaupgrade”</t>
  </si>
  <si>
    <t>Marcelo</t>
  </si>
  <si>
    <t>Arquiteto</t>
  </si>
  <si>
    <t>Renato</t>
  </si>
  <si>
    <t>Deivid</t>
  </si>
  <si>
    <t>Sylvio</t>
  </si>
  <si>
    <t>Dev</t>
  </si>
  <si>
    <t>Arthur</t>
  </si>
  <si>
    <t>Luan</t>
  </si>
  <si>
    <t>Noah</t>
  </si>
  <si>
    <t>Giovana</t>
  </si>
  <si>
    <t>Alecio</t>
  </si>
  <si>
    <t>Raphael</t>
  </si>
  <si>
    <t>Leticia</t>
  </si>
  <si>
    <t>EF</t>
  </si>
  <si>
    <t>[[Entre com nome do Projeto]]</t>
  </si>
  <si>
    <t>03/fev/25</t>
  </si>
  <si>
    <t>04/fev/25</t>
  </si>
  <si>
    <t>05/fev/25</t>
  </si>
  <si>
    <t>06/fev/25</t>
  </si>
  <si>
    <t>07/fev/25</t>
  </si>
  <si>
    <t>08/fev/25</t>
  </si>
  <si>
    <t>09/fev/25</t>
  </si>
  <si>
    <t>10/fev/25</t>
  </si>
  <si>
    <t>11/fev/25</t>
  </si>
  <si>
    <t>12/fev/25</t>
  </si>
  <si>
    <t>13/fev/25</t>
  </si>
  <si>
    <t>14/fev/25</t>
  </si>
  <si>
    <t>15/fev/25</t>
  </si>
  <si>
    <t>16/fev/25</t>
  </si>
  <si>
    <t>17/fev/25</t>
  </si>
  <si>
    <t>18/fev/25</t>
  </si>
  <si>
    <t>19/fev/25</t>
  </si>
  <si>
    <t>20/fev/25</t>
  </si>
  <si>
    <t>21/fev/25</t>
  </si>
  <si>
    <t>22/fev/25</t>
  </si>
  <si>
    <t>23/fev/25</t>
  </si>
  <si>
    <t>24/fev/25</t>
  </si>
  <si>
    <t>25/fev/25</t>
  </si>
  <si>
    <t>26/fev/25</t>
  </si>
  <si>
    <t>27/fev/25</t>
  </si>
  <si>
    <t>28/fev/25</t>
  </si>
  <si>
    <t>01/abr/25</t>
  </si>
  <si>
    <t>02/abr/25</t>
  </si>
  <si>
    <t>03/abr/25</t>
  </si>
  <si>
    <t>04/abr/25</t>
  </si>
  <si>
    <t>05/abr/25</t>
  </si>
  <si>
    <t>06/abr/25</t>
  </si>
  <si>
    <t>07/abr/25</t>
  </si>
  <si>
    <t>08/abr/25</t>
  </si>
  <si>
    <t>09/abr/25</t>
  </si>
  <si>
    <t>10/abr/25</t>
  </si>
  <si>
    <t>JIR_01 [ ITS ]</t>
  </si>
  <si>
    <t>JIR_01 [ DEV ]</t>
  </si>
  <si>
    <t>JIR_02 [ EF ]</t>
  </si>
  <si>
    <t>JIR_02 [ ITS ]</t>
  </si>
  <si>
    <t>JIR_02 [ DEV ]</t>
  </si>
  <si>
    <t>JIR_03 [ EF ]</t>
  </si>
  <si>
    <t>JIR_03 [ ITS ]</t>
  </si>
  <si>
    <t>JIR_03 [ DEV ]</t>
  </si>
  <si>
    <t>JIR_04 [ EF ]</t>
  </si>
  <si>
    <t>JIR_04 [ ITS ]</t>
  </si>
  <si>
    <t>JIR_04 [ DEV ]</t>
  </si>
  <si>
    <t>JIR_05 [ EF ]</t>
  </si>
  <si>
    <t>JIR_05 [ ITS ]</t>
  </si>
  <si>
    <t>JIR_05 [ DEV ]</t>
  </si>
  <si>
    <t>JIR_06 [ EF ]</t>
  </si>
  <si>
    <t>JIR_06 [ ITS ]</t>
  </si>
  <si>
    <t>JIR_06 [ DEV ]</t>
  </si>
  <si>
    <t>JIR_07 [ EF ]</t>
  </si>
  <si>
    <t>JIR_07 [ ITS ]</t>
  </si>
  <si>
    <t>JIR_07 [ DEV ]</t>
  </si>
  <si>
    <t>JIR_08 [ EF ]</t>
  </si>
  <si>
    <t>JIR_08 [ ITS ]</t>
  </si>
  <si>
    <t>JIR_08 [ DEV ]</t>
  </si>
  <si>
    <t>JIR_09 [ EF ]</t>
  </si>
  <si>
    <t>JIR_09 [ ITS ]</t>
  </si>
  <si>
    <t>JIR_09 [ DEV ]</t>
  </si>
  <si>
    <t>JIR_10 [ EF ]</t>
  </si>
  <si>
    <t>JIR_10 [ ITS ]</t>
  </si>
  <si>
    <t>JIR_10 [ DEV ]</t>
  </si>
  <si>
    <t>JIR_11 [ EF ]</t>
  </si>
  <si>
    <t>JIR_11 [ ITS ]</t>
  </si>
  <si>
    <t>JIR_11 [ DEV ]</t>
  </si>
  <si>
    <t>JIR_12 [ EF ]</t>
  </si>
  <si>
    <t>JIR_12 [ ITS ]</t>
  </si>
  <si>
    <t>JIR_12 [ DEV ]</t>
  </si>
  <si>
    <t>JIR_13 [ EF ]</t>
  </si>
  <si>
    <t>JIR_13 [ ITS ]</t>
  </si>
  <si>
    <t>JIR_13 [ DEV ]</t>
  </si>
  <si>
    <t>JIR_14 [ EF ]</t>
  </si>
  <si>
    <t>JIR_14 [ ITS ]</t>
  </si>
  <si>
    <t>JIR_14 [ DEV ]</t>
  </si>
  <si>
    <t>JIR_15 [ EF ]</t>
  </si>
  <si>
    <t>JIR_15 [ ITS ]</t>
  </si>
  <si>
    <t>JIR_15 [ DEV ]</t>
  </si>
  <si>
    <t>JIR_16 [ EF ]</t>
  </si>
  <si>
    <t>JIR_16 [ ITS ]</t>
  </si>
  <si>
    <t>JIR_16 [ DEV ]</t>
  </si>
  <si>
    <t>JIR_17 [ EF ]</t>
  </si>
  <si>
    <t>JIR_17 [ ITS ]</t>
  </si>
  <si>
    <t>JIR_17 [ DEV ]</t>
  </si>
  <si>
    <t>JIR_18 [ EF ]</t>
  </si>
  <si>
    <t>JIR_18 [ ITS ]</t>
  </si>
  <si>
    <t>JIR_18 [ DEV ]</t>
  </si>
  <si>
    <t>JIR_19 [ EF ]</t>
  </si>
  <si>
    <t>JIR_19 [ ITS ]</t>
  </si>
  <si>
    <t>JIR_19 [ DEV ]</t>
  </si>
  <si>
    <t>JIR_20 [ EF ]</t>
  </si>
  <si>
    <t>JIR_20 [ ITS ]</t>
  </si>
  <si>
    <t>JIR_20 [ DEV ]</t>
  </si>
  <si>
    <t>JIR_21 [ EF ]</t>
  </si>
  <si>
    <t>JIR_21 [ ITS ]</t>
  </si>
  <si>
    <t>JIR_21 [ DEV ]</t>
  </si>
  <si>
    <t>JIR_22 [ EF ]</t>
  </si>
  <si>
    <t>JIR_22 [ ITS ]</t>
  </si>
  <si>
    <t>JIR_22 [ DEV ]</t>
  </si>
  <si>
    <t>JIR_23 [ EF ]</t>
  </si>
  <si>
    <t>JIR_23 [ ITS ]</t>
  </si>
  <si>
    <t>JIR_23 [ DEV ]</t>
  </si>
  <si>
    <t>JIR_24 [ EF ]</t>
  </si>
  <si>
    <t>JIR_24 [ ITS ]</t>
  </si>
  <si>
    <t>JIR_24 [ DEV ]</t>
  </si>
  <si>
    <t>JIR_25 [ EF ]</t>
  </si>
  <si>
    <t>JIR_25 [ ITS ]</t>
  </si>
  <si>
    <t>JIR_25 [ DEV ]</t>
  </si>
  <si>
    <t>JIR_26 [ EF ]</t>
  </si>
  <si>
    <t>JIR_26 [ ITS ]</t>
  </si>
  <si>
    <t>JIR_26 [ DEV ]</t>
  </si>
  <si>
    <t>JIR_27 [ EF ]</t>
  </si>
  <si>
    <t>JIR_27 [ ITS ]</t>
  </si>
  <si>
    <t>JIR_27 [ DEV ]</t>
  </si>
  <si>
    <t>JIR_28 [ EF ]</t>
  </si>
  <si>
    <t>JIR_28 [ ITS ]</t>
  </si>
  <si>
    <t>JIR_28 [ DEV ]</t>
  </si>
  <si>
    <t>JIR_29 [ EF ]</t>
  </si>
  <si>
    <t>JIR_29 [ ITS ]</t>
  </si>
  <si>
    <t>JIR_29 [ DEV ]</t>
  </si>
  <si>
    <t>JIR_30 [ EF ]</t>
  </si>
  <si>
    <t>JIR_30 [ ITS ]</t>
  </si>
  <si>
    <t>JIR_30 [ DEV ]</t>
  </si>
  <si>
    <t>JIR_01 [ EF ]</t>
  </si>
  <si>
    <t>Cards: 61   /   Pts: 267</t>
  </si>
  <si>
    <t>Cards: 29   /   Pts: 146</t>
  </si>
  <si>
    <t>id jira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</si>
</sst>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"/>
  </numFmts>
  <fonts count="40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b/>
      <i/>
      <sz val="10"/>
      <color theme="0"/>
      <name val="Arial"/>
      <family val="2"/>
    </font>
    <font>
      <b/>
      <sz val="8"/>
      <color rgb="FFFFFFFF"/>
      <name val="Arial"/>
      <family val="2"/>
    </font>
    <font>
      <sz val="8"/>
      <color rgb="FFFFFFFF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rgb="FFFFFFFF"/>
      <name val="Arial"/>
      <family val="2"/>
    </font>
    <font>
      <sz val="8"/>
      <color rgb="FF000000"/>
      <name val="Arial"/>
      <family val="2"/>
    </font>
    <font>
      <b/>
      <sz val="10"/>
      <color rgb="FFFFFFFF"/>
      <name val="Arial"/>
      <family val="2"/>
    </font>
    <font>
      <b/>
      <sz val="11"/>
      <color theme="1"/>
      <name val="Calibri"/>
      <family val="2"/>
      <scheme val="minor"/>
    </font>
    <font>
      <b/>
      <i/>
      <sz val="10"/>
      <color rgb="FF000000"/>
      <name val="Arial"/>
      <family val="2"/>
    </font>
    <font>
      <sz val="9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i/>
      <u/>
      <sz val="50"/>
      <color theme="4" tint="-0.499984740745262"/>
      <name val="Arial"/>
      <family val="2"/>
    </font>
    <font>
      <b/>
      <u/>
      <sz val="20"/>
      <color rgb="FFFFFFFF"/>
      <name val="Arial"/>
      <family val="2"/>
    </font>
    <font>
      <b/>
      <u/>
      <sz val="20"/>
      <color rgb="FF7030A0"/>
      <name val="Arial"/>
      <family val="2"/>
    </font>
    <font>
      <b/>
      <sz val="11"/>
      <color theme="1"/>
      <name val="Arial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20"/>
      <color theme="4" tint="-0.499984740745262"/>
      <name val="Arial"/>
      <family val="2"/>
    </font>
    <font>
      <b/>
      <sz val="10"/>
      <color theme="1"/>
      <name val="Arail"/>
    </font>
    <font>
      <b/>
      <i/>
      <u/>
      <sz val="20"/>
      <color theme="7" tint="-0.249977111117893"/>
      <name val="Arial"/>
      <family val="2"/>
    </font>
    <font>
      <b/>
      <i/>
      <u/>
      <sz val="20"/>
      <color rgb="FF7030A0"/>
      <name val="Arial"/>
      <family val="2"/>
    </font>
    <font>
      <b/>
      <i/>
      <u/>
      <sz val="20"/>
      <color theme="9" tint="-0.499984740745262"/>
      <name val="Arial"/>
      <family val="2"/>
    </font>
    <font>
      <b/>
      <u/>
      <sz val="12"/>
      <color rgb="FF7030A0"/>
      <name val="Arial"/>
      <family val="2"/>
    </font>
    <font>
      <b/>
      <u/>
      <sz val="12"/>
      <color rgb="FF2F75B5"/>
      <name val="Arial"/>
      <family val="2"/>
    </font>
    <font>
      <b/>
      <u/>
      <sz val="12"/>
      <color rgb="FF006400"/>
      <name val="Arial"/>
      <family val="2"/>
    </font>
    <font>
      <b/>
      <sz val="20"/>
      <color theme="0"/>
      <name val="Arial"/>
      <family val="2"/>
    </font>
    <font>
      <b/>
      <u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sz val="11"/>
      <color rgb="FF000000"/>
      <name val="Calibri"/>
      <family val="2"/>
      <scheme val="minor"/>
    </font>
    <font>
      <u/>
      <sz val="9"/>
      <color indexed="81"/>
      <name val="Tahoma"/>
      <family val="2"/>
    </font>
    <font>
      <sz val="7"/>
      <color rgb="FFFFFFFF"/>
      <name val="Arial"/>
      <family val="2"/>
    </font>
  </fonts>
  <fills count="134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305496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8F50A8"/>
        <bgColor indexed="64"/>
      </patternFill>
    </fill>
    <fill>
      <patternFill patternType="solid">
        <fgColor rgb="FF88CC7C"/>
        <bgColor indexed="64"/>
      </patternFill>
    </fill>
    <fill>
      <patternFill patternType="solid">
        <fgColor rgb="FF20359A"/>
        <bgColor theme="4" tint="0.79998168889431442"/>
      </patternFill>
    </fill>
    <fill>
      <patternFill patternType="solid">
        <fgColor rgb="FF2ECDB2"/>
        <bgColor indexed="64"/>
      </patternFill>
    </fill>
    <fill>
      <patternFill patternType="solid">
        <fgColor rgb="FFFD20A6"/>
        <bgColor theme="4" tint="0.79998168889431442"/>
      </patternFill>
    </fill>
    <fill>
      <patternFill patternType="solid">
        <fgColor rgb="FF54BB95"/>
        <bgColor theme="4" tint="0.79998168889431442"/>
      </patternFill>
    </fill>
    <fill>
      <patternFill patternType="solid">
        <fgColor rgb="FF960127"/>
        <bgColor indexed="64"/>
      </patternFill>
    </fill>
    <fill>
      <patternFill patternType="solid">
        <fgColor rgb="FFC61DB9"/>
        <bgColor indexed="64"/>
      </patternFill>
    </fill>
    <fill>
      <patternFill patternType="solid">
        <fgColor rgb="FF3871E6"/>
        <bgColor indexed="64"/>
      </patternFill>
    </fill>
    <fill>
      <patternFill patternType="solid">
        <fgColor rgb="FF6BA245"/>
        <bgColor theme="4" tint="0.79998168889431442"/>
      </patternFill>
    </fill>
    <fill>
      <patternFill patternType="solid">
        <fgColor rgb="FF5F265B"/>
        <bgColor indexed="64"/>
      </patternFill>
    </fill>
    <fill>
      <patternFill patternType="solid">
        <fgColor rgb="FFEA58CC"/>
        <bgColor indexed="64"/>
      </patternFill>
    </fill>
    <fill>
      <patternFill patternType="solid">
        <fgColor rgb="FF597268"/>
        <bgColor theme="4" tint="0.79998168889431442"/>
      </patternFill>
    </fill>
    <fill>
      <patternFill patternType="solid">
        <fgColor rgb="FFABAEA1"/>
        <bgColor theme="4" tint="0.79998168889431442"/>
      </patternFill>
    </fill>
    <fill>
      <patternFill patternType="solid">
        <fgColor rgb="FFACB5E2"/>
        <bgColor indexed="64"/>
      </patternFill>
    </fill>
    <fill>
      <patternFill patternType="solid">
        <fgColor rgb="FF722A44"/>
        <bgColor theme="4" tint="0.79998168889431442"/>
      </patternFill>
    </fill>
    <fill>
      <patternFill patternType="solid">
        <fgColor rgb="FF085FC3"/>
        <bgColor indexed="64"/>
      </patternFill>
    </fill>
    <fill>
      <patternFill patternType="solid">
        <fgColor rgb="FFF29243"/>
        <bgColor indexed="64"/>
      </patternFill>
    </fill>
    <fill>
      <patternFill patternType="solid">
        <fgColor rgb="FF81A93D"/>
        <bgColor theme="4" tint="0.79998168889431442"/>
      </patternFill>
    </fill>
    <fill>
      <patternFill patternType="solid">
        <fgColor rgb="FFBF0BF8"/>
        <bgColor indexed="64"/>
      </patternFill>
    </fill>
    <fill>
      <patternFill patternType="solid">
        <fgColor rgb="FF1F19A3"/>
        <bgColor indexed="64"/>
      </patternFill>
    </fill>
    <fill>
      <patternFill patternType="solid">
        <fgColor rgb="FF7E4578"/>
        <bgColor theme="4" tint="0.79998168889431442"/>
      </patternFill>
    </fill>
    <fill>
      <patternFill patternType="solid">
        <fgColor rgb="FF4F462A"/>
        <bgColor indexed="64"/>
      </patternFill>
    </fill>
    <fill>
      <patternFill patternType="solid">
        <fgColor rgb="FFD62A62"/>
        <bgColor theme="4" tint="0.79998168889431442"/>
      </patternFill>
    </fill>
    <fill>
      <patternFill patternType="solid">
        <fgColor rgb="FF8BBA2A"/>
        <bgColor indexed="64"/>
      </patternFill>
    </fill>
    <fill>
      <patternFill patternType="solid">
        <fgColor rgb="FF39507D"/>
        <bgColor indexed="64"/>
      </patternFill>
    </fill>
    <fill>
      <patternFill patternType="solid">
        <fgColor rgb="FFFF0000"/>
        <bgColor theme="4" tint="0.79998168889431442"/>
      </patternFill>
    </fill>
    <fill>
      <patternFill patternType="solid">
        <fgColor rgb="FF949DC5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theme="4" tint="0.59999389629810485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rgb="FF20359A"/>
        <bgColor theme="4"/>
      </patternFill>
    </fill>
    <fill>
      <patternFill patternType="solid">
        <fgColor rgb="FFADD8E6"/>
        <bgColor indexed="64"/>
      </patternFill>
    </fill>
    <fill>
      <patternFill patternType="solid">
        <fgColor rgb="FF006400"/>
        <bgColor indexed="64"/>
      </patternFill>
    </fill>
    <fill>
      <patternFill patternType="solid">
        <fgColor rgb="FFE4F3D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-0.249977111117893"/>
        <bgColor theme="4" tint="0.79998168889431442"/>
      </patternFill>
    </fill>
    <fill>
      <patternFill patternType="solid">
        <fgColor rgb="FF7030A0"/>
        <bgColor theme="4" tint="0.59999389629810485"/>
      </patternFill>
    </fill>
    <fill>
      <patternFill patternType="solid">
        <fgColor theme="8" tint="-0.249977111117893"/>
        <bgColor theme="4" tint="0.79998168889431442"/>
      </patternFill>
    </fill>
    <fill>
      <patternFill patternType="solid">
        <fgColor theme="9" tint="-0.499984740745262"/>
        <bgColor theme="4" tint="0.59999389629810485"/>
      </patternFill>
    </fill>
    <fill>
      <patternFill patternType="solid">
        <fgColor rgb="FF949DC5"/>
        <bgColor theme="4"/>
      </patternFill>
    </fill>
    <fill>
      <patternFill patternType="solid">
        <fgColor rgb="FF8F50A8"/>
        <bgColor theme="4"/>
      </patternFill>
    </fill>
    <fill>
      <patternFill patternType="solid">
        <fgColor rgb="FF88CC7C"/>
        <bgColor theme="4"/>
      </patternFill>
    </fill>
    <fill>
      <patternFill patternType="solid">
        <fgColor rgb="FFBF8F00"/>
        <bgColor indexed="64"/>
      </patternFill>
    </fill>
    <fill>
      <patternFill patternType="solid">
        <fgColor rgb="FF37562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4F462A"/>
        <bgColor theme="4"/>
      </patternFill>
    </fill>
    <fill>
      <patternFill patternType="solid">
        <fgColor rgb="FFFD20A6"/>
        <bgColor theme="4"/>
      </patternFill>
    </fill>
    <fill>
      <patternFill patternType="solid">
        <fgColor rgb="FFF29243"/>
        <bgColor theme="4"/>
      </patternFill>
    </fill>
    <fill>
      <patternFill patternType="solid">
        <fgColor rgb="FF20359A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29243"/>
        <bgColor theme="4" tint="0.59999389629810485"/>
      </patternFill>
    </fill>
    <fill>
      <patternFill patternType="solid">
        <fgColor rgb="FFFFCCCC"/>
        <bgColor indexed="64"/>
      </patternFill>
    </fill>
    <fill>
      <patternFill patternType="solid">
        <fgColor rgb="FFABAEA1"/>
        <bgColor indexed="64"/>
      </patternFill>
    </fill>
    <fill>
      <patternFill patternType="solid">
        <fgColor rgb="FF597268"/>
        <bgColor indexed="64"/>
      </patternFill>
    </fill>
    <fill>
      <patternFill patternType="solid">
        <fgColor rgb="FF6BA24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D20A6"/>
        <bgColor indexed="64"/>
      </patternFill>
    </fill>
    <fill>
      <patternFill patternType="solid">
        <fgColor rgb="FF54BB95"/>
        <bgColor indexed="64"/>
      </patternFill>
    </fill>
    <fill>
      <patternFill patternType="solid">
        <fgColor rgb="FF4F462A"/>
        <bgColor theme="4" tint="0.59999389629810485"/>
      </patternFill>
    </fill>
    <fill>
      <patternFill patternType="solid">
        <fgColor rgb="FF949DC5"/>
        <bgColor theme="4" tint="0.59999389629810485"/>
      </patternFill>
    </fill>
    <fill>
      <patternFill patternType="solid">
        <fgColor rgb="FF8F50A8"/>
        <bgColor theme="4" tint="0.59999389629810485"/>
      </patternFill>
    </fill>
    <fill>
      <patternFill patternType="solid">
        <fgColor rgb="FF88CC7C"/>
        <bgColor theme="4" tint="0.59999389629810485"/>
      </patternFill>
    </fill>
    <fill>
      <patternFill patternType="solid">
        <fgColor rgb="FFFD20A6"/>
        <bgColor theme="4" tint="0.59999389629810485"/>
      </patternFill>
    </fill>
    <fill>
      <patternFill patternType="solid">
        <fgColor rgb="FF722A44"/>
        <bgColor indexed="64"/>
      </patternFill>
    </fill>
    <fill>
      <patternFill patternType="solid">
        <fgColor rgb="FF81A93D"/>
        <bgColor indexed="64"/>
      </patternFill>
    </fill>
    <fill>
      <patternFill patternType="solid">
        <fgColor rgb="FF7E4578"/>
        <bgColor indexed="64"/>
      </patternFill>
    </fill>
    <fill>
      <patternFill patternType="solid">
        <fgColor rgb="FFD62A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2ECDB2"/>
        <bgColor theme="4"/>
      </patternFill>
    </fill>
    <fill>
      <patternFill patternType="solid">
        <fgColor rgb="FF960127"/>
        <bgColor theme="4"/>
      </patternFill>
    </fill>
    <fill>
      <patternFill patternType="solid">
        <fgColor rgb="FFABAEA1"/>
        <bgColor theme="4"/>
      </patternFill>
    </fill>
    <fill>
      <patternFill patternType="solid">
        <fgColor rgb="FFC61DB9"/>
        <bgColor theme="4"/>
      </patternFill>
    </fill>
    <fill>
      <patternFill patternType="solid">
        <fgColor rgb="FF3871E6"/>
        <bgColor theme="4"/>
      </patternFill>
    </fill>
    <fill>
      <patternFill patternType="solid">
        <fgColor rgb="FF6BA245"/>
        <bgColor theme="4"/>
      </patternFill>
    </fill>
    <fill>
      <patternFill patternType="solid">
        <fgColor rgb="FF5F265B"/>
        <bgColor theme="4"/>
      </patternFill>
    </fill>
    <fill>
      <patternFill patternType="solid">
        <fgColor rgb="FF54BB95"/>
        <bgColor theme="4"/>
      </patternFill>
    </fill>
    <fill>
      <patternFill patternType="solid">
        <fgColor rgb="FF597268"/>
        <bgColor theme="4"/>
      </patternFill>
    </fill>
    <fill>
      <patternFill patternType="solid">
        <fgColor rgb="FFEA58CC"/>
        <bgColor theme="4"/>
      </patternFill>
    </fill>
    <fill>
      <patternFill patternType="solid">
        <fgColor rgb="FFACB5E2"/>
        <bgColor theme="4"/>
      </patternFill>
    </fill>
    <fill>
      <patternFill patternType="solid">
        <fgColor rgb="FF722A44"/>
        <bgColor theme="4"/>
      </patternFill>
    </fill>
    <fill>
      <patternFill patternType="solid">
        <fgColor rgb="FF085FC3"/>
        <bgColor theme="4"/>
      </patternFill>
    </fill>
    <fill>
      <patternFill patternType="solid">
        <fgColor rgb="FF81A93D"/>
        <bgColor theme="4"/>
      </patternFill>
    </fill>
    <fill>
      <patternFill patternType="solid">
        <fgColor rgb="FFBF0BF8"/>
        <bgColor theme="4"/>
      </patternFill>
    </fill>
    <fill>
      <patternFill patternType="solid">
        <fgColor rgb="FF1F19A3"/>
        <bgColor theme="4"/>
      </patternFill>
    </fill>
    <fill>
      <patternFill patternType="solid">
        <fgColor rgb="FF7E4578"/>
        <bgColor theme="4"/>
      </patternFill>
    </fill>
    <fill>
      <patternFill patternType="solid">
        <fgColor rgb="FFD62A62"/>
        <bgColor theme="4"/>
      </patternFill>
    </fill>
    <fill>
      <patternFill patternType="solid">
        <fgColor rgb="FF8BBA2A"/>
        <bgColor theme="4"/>
      </patternFill>
    </fill>
    <fill>
      <patternFill patternType="solid">
        <fgColor rgb="FF39507D"/>
        <bgColor theme="4"/>
      </patternFill>
    </fill>
    <fill>
      <patternFill patternType="solid">
        <fgColor rgb="FFFF0000"/>
        <bgColor theme="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C6591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rgb="FF20359A"/>
        <bgColor theme="4" tint="0.59999389629810485"/>
      </patternFill>
    </fill>
    <fill>
      <patternFill patternType="solid">
        <fgColor rgb="FF2ECDB2"/>
        <bgColor theme="4" tint="0.59999389629810485"/>
      </patternFill>
    </fill>
    <fill>
      <patternFill patternType="solid">
        <fgColor rgb="FF960127"/>
        <bgColor theme="4" tint="0.59999389629810485"/>
      </patternFill>
    </fill>
    <fill>
      <patternFill patternType="solid">
        <fgColor rgb="FFABAEA1"/>
        <bgColor theme="4" tint="0.59999389629810485"/>
      </patternFill>
    </fill>
    <fill>
      <patternFill patternType="solid">
        <fgColor rgb="FFC61DB9"/>
        <bgColor theme="4" tint="0.59999389629810485"/>
      </patternFill>
    </fill>
    <fill>
      <patternFill patternType="solid">
        <fgColor rgb="FF3871E6"/>
        <bgColor theme="4" tint="0.59999389629810485"/>
      </patternFill>
    </fill>
    <fill>
      <patternFill patternType="solid">
        <fgColor rgb="FF6BA245"/>
        <bgColor theme="4" tint="0.59999389629810485"/>
      </patternFill>
    </fill>
    <fill>
      <patternFill patternType="solid">
        <fgColor rgb="FF5F265B"/>
        <bgColor theme="4" tint="0.59999389629810485"/>
      </patternFill>
    </fill>
    <fill>
      <patternFill patternType="solid">
        <fgColor rgb="FF54BB95"/>
        <bgColor theme="4" tint="0.59999389629810485"/>
      </patternFill>
    </fill>
    <fill>
      <patternFill patternType="solid">
        <fgColor rgb="FF597268"/>
        <bgColor theme="4" tint="0.59999389629810485"/>
      </patternFill>
    </fill>
    <fill>
      <patternFill patternType="solid">
        <fgColor rgb="FFEA58CC"/>
        <bgColor theme="4" tint="0.59999389629810485"/>
      </patternFill>
    </fill>
    <fill>
      <patternFill patternType="solid">
        <fgColor rgb="FFACB5E2"/>
        <bgColor theme="4" tint="0.59999389629810485"/>
      </patternFill>
    </fill>
    <fill>
      <patternFill patternType="solid">
        <fgColor rgb="FF722A44"/>
        <bgColor theme="4" tint="0.59999389629810485"/>
      </patternFill>
    </fill>
    <fill>
      <patternFill patternType="solid">
        <fgColor rgb="FF085FC3"/>
        <bgColor theme="4" tint="0.59999389629810485"/>
      </patternFill>
    </fill>
    <fill>
      <patternFill patternType="solid">
        <fgColor rgb="FF81A93D"/>
        <bgColor theme="4" tint="0.59999389629810485"/>
      </patternFill>
    </fill>
    <fill>
      <patternFill patternType="solid">
        <fgColor rgb="FFBF0BF8"/>
        <bgColor theme="4" tint="0.59999389629810485"/>
      </patternFill>
    </fill>
    <fill>
      <patternFill patternType="solid">
        <fgColor rgb="FF1F19A3"/>
        <bgColor theme="4" tint="0.59999389629810485"/>
      </patternFill>
    </fill>
    <fill>
      <patternFill patternType="solid">
        <fgColor rgb="FF7E4578"/>
        <bgColor theme="4" tint="0.59999389629810485"/>
      </patternFill>
    </fill>
    <fill>
      <patternFill patternType="solid">
        <fgColor rgb="FFD62A62"/>
        <bgColor theme="4" tint="0.59999389629810485"/>
      </patternFill>
    </fill>
    <fill>
      <patternFill patternType="solid">
        <fgColor rgb="FF8BBA2A"/>
        <bgColor theme="4" tint="0.59999389629810485"/>
      </patternFill>
    </fill>
    <fill>
      <patternFill patternType="solid">
        <fgColor rgb="FF39507D"/>
        <bgColor theme="4" tint="0.59999389629810485"/>
      </patternFill>
    </fill>
    <fill>
      <patternFill patternType="solid">
        <fgColor rgb="FFFF0000"/>
        <bgColor theme="4" tint="0.59999389629810485"/>
      </patternFill>
    </fill>
  </fills>
  <borders count="276">
    <border>
      <left/>
      <right/>
      <top/>
      <bottom/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/>
      <bottom style="medium">
        <color rgb="FFFFFFF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rgb="FFFFFFFF"/>
      </left>
      <right style="medium">
        <color rgb="FFFFFFFF"/>
      </right>
      <top/>
      <bottom/>
      <diagonal/>
    </border>
    <border>
      <left style="thin">
        <color theme="0"/>
      </left>
      <right/>
      <top/>
      <bottom style="thick">
        <color theme="0"/>
      </bottom>
      <diagonal/>
    </border>
    <border>
      <left style="thin">
        <color theme="1" tint="0.34998626667073579"/>
      </left>
      <right/>
      <top/>
      <bottom/>
      <diagonal/>
    </border>
    <border>
      <left style="medium">
        <color theme="4" tint="-0.249977111117893"/>
      </left>
      <right/>
      <top/>
      <bottom/>
      <diagonal/>
    </border>
    <border>
      <left/>
      <right style="medium">
        <color theme="4" tint="-0.249977111117893"/>
      </right>
      <top/>
      <bottom/>
      <diagonal/>
    </border>
    <border>
      <left style="medium">
        <color theme="4" tint="-0.249977111117893"/>
      </left>
      <right/>
      <top/>
      <bottom style="medium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 style="medium">
        <color theme="4" tint="-0.249977111117893"/>
      </right>
      <top/>
      <bottom style="medium">
        <color theme="4" tint="-0.249977111117893"/>
      </bottom>
      <diagonal/>
    </border>
    <border>
      <left style="medium">
        <color theme="4" tint="-0.249977111117893"/>
      </left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 style="medium">
        <color theme="4" tint="-0.249977111117893"/>
      </bottom>
      <diagonal/>
    </border>
    <border>
      <left/>
      <right style="medium">
        <color theme="4" tint="-0.249977111117893"/>
      </right>
      <top style="medium">
        <color theme="4" tint="-0.249977111117893"/>
      </top>
      <bottom style="medium">
        <color theme="4" tint="-0.249977111117893"/>
      </bottom>
      <diagonal/>
    </border>
    <border>
      <left style="thick">
        <color rgb="FF7030A0"/>
      </left>
      <right style="medium">
        <color rgb="FFFFFFFF"/>
      </right>
      <top style="thick">
        <color rgb="FF7030A0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7030A0"/>
      </top>
      <bottom style="medium">
        <color rgb="FFFFFFFF"/>
      </bottom>
      <diagonal/>
    </border>
    <border>
      <left style="thick">
        <color rgb="FF7030A0"/>
      </left>
      <right/>
      <top/>
      <bottom/>
      <diagonal/>
    </border>
    <border>
      <left/>
      <right style="thick">
        <color rgb="FF7030A0"/>
      </right>
      <top/>
      <bottom/>
      <diagonal/>
    </border>
    <border>
      <left style="thick">
        <color rgb="FF7030A0"/>
      </left>
      <right/>
      <top/>
      <bottom style="thick">
        <color rgb="FF7030A0"/>
      </bottom>
      <diagonal/>
    </border>
    <border>
      <left/>
      <right/>
      <top/>
      <bottom style="thick">
        <color rgb="FF7030A0"/>
      </bottom>
      <diagonal/>
    </border>
    <border>
      <left/>
      <right style="thick">
        <color rgb="FF7030A0"/>
      </right>
      <top/>
      <bottom style="thick">
        <color rgb="FF7030A0"/>
      </bottom>
      <diagonal/>
    </border>
    <border>
      <left style="medium">
        <color rgb="FFFFFFFF"/>
      </left>
      <right style="thick">
        <color rgb="FF7030A0"/>
      </right>
      <top style="thick">
        <color rgb="FF7030A0"/>
      </top>
      <bottom style="medium">
        <color rgb="FFFFFFFF"/>
      </bottom>
      <diagonal/>
    </border>
    <border>
      <left style="thick">
        <color rgb="FF7030A0"/>
      </left>
      <right/>
      <top style="thick">
        <color rgb="FF7030A0"/>
      </top>
      <bottom style="thick">
        <color rgb="FF7030A0"/>
      </bottom>
      <diagonal/>
    </border>
    <border>
      <left/>
      <right/>
      <top style="thick">
        <color rgb="FF7030A0"/>
      </top>
      <bottom style="thick">
        <color rgb="FF7030A0"/>
      </bottom>
      <diagonal/>
    </border>
    <border>
      <left/>
      <right style="thick">
        <color rgb="FF7030A0"/>
      </right>
      <top style="thick">
        <color rgb="FF7030A0"/>
      </top>
      <bottom style="thick">
        <color rgb="FF7030A0"/>
      </bottom>
      <diagonal/>
    </border>
    <border>
      <left style="thick">
        <color rgb="FF2F75B5"/>
      </left>
      <right/>
      <top style="thick">
        <color rgb="FF2F75B5"/>
      </top>
      <bottom style="thick">
        <color rgb="FF2F75B5"/>
      </bottom>
      <diagonal/>
    </border>
    <border>
      <left/>
      <right/>
      <top style="thick">
        <color rgb="FF2F75B5"/>
      </top>
      <bottom style="thick">
        <color rgb="FF2F75B5"/>
      </bottom>
      <diagonal/>
    </border>
    <border>
      <left/>
      <right style="thick">
        <color rgb="FF2F75B5"/>
      </right>
      <top style="thick">
        <color rgb="FF2F75B5"/>
      </top>
      <bottom style="thick">
        <color rgb="FF2F75B5"/>
      </bottom>
      <diagonal/>
    </border>
    <border>
      <left style="thick">
        <color rgb="FF2F75B5"/>
      </left>
      <right style="medium">
        <color rgb="FFFFFFFF"/>
      </right>
      <top style="thick">
        <color rgb="FF2F75B5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2F75B5"/>
      </top>
      <bottom style="medium">
        <color rgb="FFFFFFFF"/>
      </bottom>
      <diagonal/>
    </border>
    <border>
      <left style="medium">
        <color rgb="FFFFFFFF"/>
      </left>
      <right style="thick">
        <color rgb="FF2F75B5"/>
      </right>
      <top style="thick">
        <color rgb="FF2F75B5"/>
      </top>
      <bottom style="medium">
        <color rgb="FFFFFFFF"/>
      </bottom>
      <diagonal/>
    </border>
    <border>
      <left style="thick">
        <color rgb="FF2F75B5"/>
      </left>
      <right/>
      <top/>
      <bottom/>
      <diagonal/>
    </border>
    <border>
      <left/>
      <right style="thick">
        <color rgb="FF2F75B5"/>
      </right>
      <top/>
      <bottom/>
      <diagonal/>
    </border>
    <border>
      <left style="thick">
        <color rgb="FF2F75B5"/>
      </left>
      <right/>
      <top/>
      <bottom style="thick">
        <color rgb="FF2F75B5"/>
      </bottom>
      <diagonal/>
    </border>
    <border>
      <left/>
      <right/>
      <top/>
      <bottom style="thick">
        <color rgb="FF2F75B5"/>
      </bottom>
      <diagonal/>
    </border>
    <border>
      <left/>
      <right style="thick">
        <color rgb="FF2F75B5"/>
      </right>
      <top/>
      <bottom style="thick">
        <color rgb="FF2F75B5"/>
      </bottom>
      <diagonal/>
    </border>
    <border>
      <left style="thick">
        <color rgb="FF006400"/>
      </left>
      <right/>
      <top style="thick">
        <color rgb="FF006400"/>
      </top>
      <bottom style="thick">
        <color rgb="FF006400"/>
      </bottom>
      <diagonal/>
    </border>
    <border>
      <left/>
      <right/>
      <top style="thick">
        <color rgb="FF006400"/>
      </top>
      <bottom style="thick">
        <color rgb="FF006400"/>
      </bottom>
      <diagonal/>
    </border>
    <border>
      <left/>
      <right style="thick">
        <color rgb="FF006400"/>
      </right>
      <top style="thick">
        <color rgb="FF006400"/>
      </top>
      <bottom style="thick">
        <color rgb="FF006400"/>
      </bottom>
      <diagonal/>
    </border>
    <border>
      <left style="thick">
        <color rgb="FF006400"/>
      </left>
      <right style="medium">
        <color rgb="FFFFFFFF"/>
      </right>
      <top style="thick">
        <color rgb="FF006400"/>
      </top>
      <bottom style="medium">
        <color rgb="FFFFFFFF"/>
      </bottom>
      <diagonal/>
    </border>
    <border>
      <left style="medium">
        <color rgb="FFFFFFFF"/>
      </left>
      <right style="medium">
        <color rgb="FFFFFFFF"/>
      </right>
      <top style="thick">
        <color rgb="FF006400"/>
      </top>
      <bottom style="medium">
        <color rgb="FFFFFFFF"/>
      </bottom>
      <diagonal/>
    </border>
    <border>
      <left style="medium">
        <color rgb="FFFFFFFF"/>
      </left>
      <right style="thick">
        <color rgb="FF006400"/>
      </right>
      <top style="thick">
        <color rgb="FF006400"/>
      </top>
      <bottom style="medium">
        <color rgb="FFFFFFFF"/>
      </bottom>
      <diagonal/>
    </border>
    <border>
      <left style="thick">
        <color rgb="FF006400"/>
      </left>
      <right/>
      <top/>
      <bottom/>
      <diagonal/>
    </border>
    <border>
      <left/>
      <right style="thick">
        <color rgb="FF006400"/>
      </right>
      <top/>
      <bottom/>
      <diagonal/>
    </border>
    <border>
      <left style="thick">
        <color rgb="FF006400"/>
      </left>
      <right/>
      <top/>
      <bottom style="thick">
        <color rgb="FF006400"/>
      </bottom>
      <diagonal/>
    </border>
    <border>
      <left/>
      <right/>
      <top/>
      <bottom style="thick">
        <color rgb="FF006400"/>
      </bottom>
      <diagonal/>
    </border>
    <border>
      <left/>
      <right style="thick">
        <color rgb="FF006400"/>
      </right>
      <top/>
      <bottom style="thick">
        <color rgb="FF006400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rgb="FF4F462A"/>
      </left>
      <right/>
      <top style="thin">
        <color rgb="FF4F462A"/>
      </top>
      <bottom/>
      <diagonal/>
    </border>
    <border>
      <left/>
      <right/>
      <top style="thin">
        <color rgb="FF4F462A"/>
      </top>
      <bottom/>
      <diagonal/>
    </border>
    <border>
      <left/>
      <right style="thin">
        <color rgb="FF4F462A"/>
      </right>
      <top style="thin">
        <color rgb="FF4F462A"/>
      </top>
      <bottom/>
      <diagonal/>
    </border>
    <border>
      <left style="thin">
        <color rgb="FF4F462A"/>
      </left>
      <right/>
      <top/>
      <bottom/>
      <diagonal/>
    </border>
    <border>
      <left/>
      <right style="thin">
        <color rgb="FF4F462A"/>
      </right>
      <top/>
      <bottom/>
      <diagonal/>
    </border>
    <border>
      <left style="thin">
        <color rgb="FF4F462A"/>
      </left>
      <right/>
      <top/>
      <bottom style="thin">
        <color rgb="FF4F462A"/>
      </bottom>
      <diagonal/>
    </border>
    <border>
      <left/>
      <right/>
      <top/>
      <bottom style="thin">
        <color rgb="FF4F462A"/>
      </bottom>
      <diagonal/>
    </border>
    <border>
      <left/>
      <right style="thin">
        <color rgb="FF4F462A"/>
      </right>
      <top/>
      <bottom style="thin">
        <color rgb="FF4F462A"/>
      </bottom>
      <diagonal/>
    </border>
    <border>
      <left style="thin">
        <color rgb="FFFD20A6"/>
      </left>
      <right/>
      <top style="thin">
        <color rgb="FFFD20A6"/>
      </top>
      <bottom/>
      <diagonal/>
    </border>
    <border>
      <left/>
      <right/>
      <top style="thin">
        <color rgb="FFFD20A6"/>
      </top>
      <bottom/>
      <diagonal/>
    </border>
    <border>
      <left/>
      <right style="thin">
        <color rgb="FFFD20A6"/>
      </right>
      <top style="thin">
        <color rgb="FFFD20A6"/>
      </top>
      <bottom/>
      <diagonal/>
    </border>
    <border>
      <left style="thin">
        <color rgb="FFFD20A6"/>
      </left>
      <right/>
      <top/>
      <bottom/>
      <diagonal/>
    </border>
    <border>
      <left/>
      <right style="thin">
        <color rgb="FFFD20A6"/>
      </right>
      <top/>
      <bottom/>
      <diagonal/>
    </border>
    <border>
      <left style="thin">
        <color rgb="FFFD20A6"/>
      </left>
      <right/>
      <top/>
      <bottom style="thin">
        <color rgb="FFFD20A6"/>
      </bottom>
      <diagonal/>
    </border>
    <border>
      <left/>
      <right/>
      <top/>
      <bottom style="thin">
        <color rgb="FFFD20A6"/>
      </bottom>
      <diagonal/>
    </border>
    <border>
      <left/>
      <right style="thin">
        <color rgb="FFFD20A6"/>
      </right>
      <top/>
      <bottom style="thin">
        <color rgb="FFFD20A6"/>
      </bottom>
      <diagonal/>
    </border>
    <border>
      <left style="thin">
        <color rgb="FFF29243"/>
      </left>
      <right/>
      <top style="thin">
        <color rgb="FFF29243"/>
      </top>
      <bottom/>
      <diagonal/>
    </border>
    <border>
      <left/>
      <right/>
      <top style="thin">
        <color rgb="FFF29243"/>
      </top>
      <bottom/>
      <diagonal/>
    </border>
    <border>
      <left/>
      <right style="thin">
        <color rgb="FFF29243"/>
      </right>
      <top style="thin">
        <color rgb="FFF29243"/>
      </top>
      <bottom/>
      <diagonal/>
    </border>
    <border>
      <left style="thin">
        <color rgb="FFF29243"/>
      </left>
      <right/>
      <top/>
      <bottom/>
      <diagonal/>
    </border>
    <border>
      <left/>
      <right style="thin">
        <color rgb="FFF29243"/>
      </right>
      <top/>
      <bottom/>
      <diagonal/>
    </border>
    <border>
      <left style="thin">
        <color rgb="FFF29243"/>
      </left>
      <right/>
      <top/>
      <bottom style="thin">
        <color rgb="FFF29243"/>
      </bottom>
      <diagonal/>
    </border>
    <border>
      <left/>
      <right/>
      <top/>
      <bottom style="thin">
        <color rgb="FFF29243"/>
      </bottom>
      <diagonal/>
    </border>
    <border>
      <left/>
      <right style="thin">
        <color rgb="FFF29243"/>
      </right>
      <top/>
      <bottom style="thin">
        <color rgb="FFF29243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rgb="FFFFFFFF"/>
      </left>
      <right style="medium">
        <color rgb="FFFFFFFF"/>
      </right>
      <top style="medium">
        <color rgb="FFFFFFFF"/>
      </top>
      <bottom/>
      <diagonal/>
    </border>
    <border>
      <left style="thin">
        <color rgb="FF20359A"/>
      </left>
      <right/>
      <top style="thin">
        <color rgb="FF20359A"/>
      </top>
      <bottom/>
      <diagonal/>
    </border>
    <border>
      <left/>
      <right/>
      <top style="thin">
        <color rgb="FF20359A"/>
      </top>
      <bottom/>
      <diagonal/>
    </border>
    <border>
      <left/>
      <right style="thin">
        <color rgb="FF20359A"/>
      </right>
      <top style="thin">
        <color rgb="FF20359A"/>
      </top>
      <bottom/>
      <diagonal/>
    </border>
    <border>
      <left style="thin">
        <color rgb="FF20359A"/>
      </left>
      <right/>
      <top/>
      <bottom/>
      <diagonal/>
    </border>
    <border>
      <left/>
      <right style="thin">
        <color rgb="FF20359A"/>
      </right>
      <top/>
      <bottom/>
      <diagonal/>
    </border>
    <border>
      <left style="thin">
        <color rgb="FF20359A"/>
      </left>
      <right/>
      <top/>
      <bottom style="thin">
        <color rgb="FF20359A"/>
      </bottom>
      <diagonal/>
    </border>
    <border>
      <left/>
      <right/>
      <top/>
      <bottom style="thin">
        <color rgb="FF20359A"/>
      </bottom>
      <diagonal/>
    </border>
    <border>
      <left/>
      <right style="thin">
        <color rgb="FF20359A"/>
      </right>
      <top/>
      <bottom style="thin">
        <color rgb="FF20359A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2ECDB2"/>
      </left>
      <right/>
      <top style="thin">
        <color rgb="FF2ECDB2"/>
      </top>
      <bottom/>
      <diagonal/>
    </border>
    <border>
      <left/>
      <right/>
      <top style="thin">
        <color rgb="FF2ECDB2"/>
      </top>
      <bottom/>
      <diagonal/>
    </border>
    <border>
      <left/>
      <right style="thin">
        <color rgb="FF2ECDB2"/>
      </right>
      <top style="thin">
        <color rgb="FF2ECDB2"/>
      </top>
      <bottom/>
      <diagonal/>
    </border>
    <border>
      <left style="thin">
        <color rgb="FF2ECDB2"/>
      </left>
      <right/>
      <top/>
      <bottom/>
      <diagonal/>
    </border>
    <border>
      <left/>
      <right style="thin">
        <color rgb="FF2ECDB2"/>
      </right>
      <top/>
      <bottom/>
      <diagonal/>
    </border>
    <border>
      <left style="thin">
        <color rgb="FF2ECDB2"/>
      </left>
      <right/>
      <top/>
      <bottom style="thin">
        <color rgb="FF2ECDB2"/>
      </bottom>
      <diagonal/>
    </border>
    <border>
      <left/>
      <right/>
      <top/>
      <bottom style="thin">
        <color rgb="FF2ECDB2"/>
      </bottom>
      <diagonal/>
    </border>
    <border>
      <left/>
      <right style="thin">
        <color rgb="FF2ECDB2"/>
      </right>
      <top/>
      <bottom style="thin">
        <color rgb="FF2ECDB2"/>
      </bottom>
      <diagonal/>
    </border>
    <border>
      <left style="thin">
        <color rgb="FF960127"/>
      </left>
      <right/>
      <top style="thin">
        <color rgb="FF960127"/>
      </top>
      <bottom/>
      <diagonal/>
    </border>
    <border>
      <left/>
      <right/>
      <top style="thin">
        <color rgb="FF960127"/>
      </top>
      <bottom/>
      <diagonal/>
    </border>
    <border>
      <left/>
      <right style="thin">
        <color rgb="FF960127"/>
      </right>
      <top style="thin">
        <color rgb="FF960127"/>
      </top>
      <bottom/>
      <diagonal/>
    </border>
    <border>
      <left style="thin">
        <color rgb="FF960127"/>
      </left>
      <right/>
      <top/>
      <bottom/>
      <diagonal/>
    </border>
    <border>
      <left/>
      <right style="thin">
        <color rgb="FF960127"/>
      </right>
      <top/>
      <bottom/>
      <diagonal/>
    </border>
    <border>
      <left style="thin">
        <color rgb="FF960127"/>
      </left>
      <right/>
      <top/>
      <bottom style="thin">
        <color rgb="FF960127"/>
      </bottom>
      <diagonal/>
    </border>
    <border>
      <left/>
      <right/>
      <top/>
      <bottom style="thin">
        <color rgb="FF960127"/>
      </bottom>
      <diagonal/>
    </border>
    <border>
      <left/>
      <right style="thin">
        <color rgb="FF960127"/>
      </right>
      <top/>
      <bottom style="thin">
        <color rgb="FF960127"/>
      </bottom>
      <diagonal/>
    </border>
    <border>
      <left style="thin">
        <color rgb="FFABAEA1"/>
      </left>
      <right/>
      <top style="thin">
        <color rgb="FFABAEA1"/>
      </top>
      <bottom/>
      <diagonal/>
    </border>
    <border>
      <left/>
      <right/>
      <top style="thin">
        <color rgb="FFABAEA1"/>
      </top>
      <bottom/>
      <diagonal/>
    </border>
    <border>
      <left/>
      <right style="thin">
        <color rgb="FFABAEA1"/>
      </right>
      <top style="thin">
        <color rgb="FFABAEA1"/>
      </top>
      <bottom/>
      <diagonal/>
    </border>
    <border>
      <left style="thin">
        <color rgb="FFABAEA1"/>
      </left>
      <right/>
      <top/>
      <bottom/>
      <diagonal/>
    </border>
    <border>
      <left/>
      <right style="thin">
        <color rgb="FFABAEA1"/>
      </right>
      <top/>
      <bottom/>
      <diagonal/>
    </border>
    <border>
      <left style="thin">
        <color rgb="FFABAEA1"/>
      </left>
      <right/>
      <top/>
      <bottom style="thin">
        <color rgb="FFABAEA1"/>
      </bottom>
      <diagonal/>
    </border>
    <border>
      <left/>
      <right/>
      <top/>
      <bottom style="thin">
        <color rgb="FFABAEA1"/>
      </bottom>
      <diagonal/>
    </border>
    <border>
      <left/>
      <right style="thin">
        <color rgb="FFABAEA1"/>
      </right>
      <top/>
      <bottom style="thin">
        <color rgb="FFABAEA1"/>
      </bottom>
      <diagonal/>
    </border>
    <border>
      <left style="thin">
        <color rgb="FFC61DB9"/>
      </left>
      <right/>
      <top style="thin">
        <color rgb="FFC61DB9"/>
      </top>
      <bottom/>
      <diagonal/>
    </border>
    <border>
      <left/>
      <right/>
      <top style="thin">
        <color rgb="FFC61DB9"/>
      </top>
      <bottom/>
      <diagonal/>
    </border>
    <border>
      <left/>
      <right style="thin">
        <color rgb="FFC61DB9"/>
      </right>
      <top style="thin">
        <color rgb="FFC61DB9"/>
      </top>
      <bottom/>
      <diagonal/>
    </border>
    <border>
      <left style="thin">
        <color rgb="FFC61DB9"/>
      </left>
      <right/>
      <top/>
      <bottom/>
      <diagonal/>
    </border>
    <border>
      <left/>
      <right style="thin">
        <color rgb="FFC61DB9"/>
      </right>
      <top/>
      <bottom/>
      <diagonal/>
    </border>
    <border>
      <left style="thin">
        <color rgb="FFC61DB9"/>
      </left>
      <right/>
      <top/>
      <bottom style="thin">
        <color rgb="FFC61DB9"/>
      </bottom>
      <diagonal/>
    </border>
    <border>
      <left/>
      <right/>
      <top/>
      <bottom style="thin">
        <color rgb="FFC61DB9"/>
      </bottom>
      <diagonal/>
    </border>
    <border>
      <left/>
      <right style="thin">
        <color rgb="FFC61DB9"/>
      </right>
      <top/>
      <bottom style="thin">
        <color rgb="FFC61DB9"/>
      </bottom>
      <diagonal/>
    </border>
    <border>
      <left style="thin">
        <color rgb="FF3871E6"/>
      </left>
      <right/>
      <top style="thin">
        <color rgb="FF3871E6"/>
      </top>
      <bottom/>
      <diagonal/>
    </border>
    <border>
      <left/>
      <right/>
      <top style="thin">
        <color rgb="FF3871E6"/>
      </top>
      <bottom/>
      <diagonal/>
    </border>
    <border>
      <left/>
      <right style="thin">
        <color rgb="FF3871E6"/>
      </right>
      <top style="thin">
        <color rgb="FF3871E6"/>
      </top>
      <bottom/>
      <diagonal/>
    </border>
    <border>
      <left style="thin">
        <color rgb="FF3871E6"/>
      </left>
      <right/>
      <top/>
      <bottom/>
      <diagonal/>
    </border>
    <border>
      <left/>
      <right style="thin">
        <color rgb="FF3871E6"/>
      </right>
      <top/>
      <bottom/>
      <diagonal/>
    </border>
    <border>
      <left style="thin">
        <color rgb="FF3871E6"/>
      </left>
      <right/>
      <top/>
      <bottom style="thin">
        <color rgb="FF3871E6"/>
      </bottom>
      <diagonal/>
    </border>
    <border>
      <left/>
      <right/>
      <top/>
      <bottom style="thin">
        <color rgb="FF3871E6"/>
      </bottom>
      <diagonal/>
    </border>
    <border>
      <left/>
      <right style="thin">
        <color rgb="FF3871E6"/>
      </right>
      <top/>
      <bottom style="thin">
        <color rgb="FF3871E6"/>
      </bottom>
      <diagonal/>
    </border>
    <border>
      <left style="thin">
        <color rgb="FF5F265B"/>
      </left>
      <right/>
      <top style="thin">
        <color rgb="FF5F265B"/>
      </top>
      <bottom/>
      <diagonal/>
    </border>
    <border>
      <left/>
      <right/>
      <top style="thin">
        <color rgb="FF5F265B"/>
      </top>
      <bottom/>
      <diagonal/>
    </border>
    <border>
      <left/>
      <right style="thin">
        <color rgb="FF5F265B"/>
      </right>
      <top style="thin">
        <color rgb="FF5F265B"/>
      </top>
      <bottom/>
      <diagonal/>
    </border>
    <border>
      <left style="thin">
        <color rgb="FF5F265B"/>
      </left>
      <right/>
      <top/>
      <bottom/>
      <diagonal/>
    </border>
    <border>
      <left/>
      <right style="thin">
        <color rgb="FF5F265B"/>
      </right>
      <top/>
      <bottom/>
      <diagonal/>
    </border>
    <border>
      <left style="thin">
        <color rgb="FF5F265B"/>
      </left>
      <right/>
      <top/>
      <bottom style="thin">
        <color rgb="FF5F265B"/>
      </bottom>
      <diagonal/>
    </border>
    <border>
      <left/>
      <right/>
      <top/>
      <bottom style="thin">
        <color rgb="FF5F265B"/>
      </bottom>
      <diagonal/>
    </border>
    <border>
      <left/>
      <right style="thin">
        <color rgb="FF5F265B"/>
      </right>
      <top/>
      <bottom style="thin">
        <color rgb="FF5F265B"/>
      </bottom>
      <diagonal/>
    </border>
    <border>
      <left style="thin">
        <color rgb="FF54BB95"/>
      </left>
      <right/>
      <top style="thin">
        <color rgb="FF54BB95"/>
      </top>
      <bottom/>
      <diagonal/>
    </border>
    <border>
      <left/>
      <right/>
      <top style="thin">
        <color rgb="FF54BB95"/>
      </top>
      <bottom/>
      <diagonal/>
    </border>
    <border>
      <left/>
      <right style="thin">
        <color rgb="FF54BB95"/>
      </right>
      <top style="thin">
        <color rgb="FF54BB95"/>
      </top>
      <bottom/>
      <diagonal/>
    </border>
    <border>
      <left style="thin">
        <color rgb="FF54BB95"/>
      </left>
      <right/>
      <top/>
      <bottom/>
      <diagonal/>
    </border>
    <border>
      <left/>
      <right style="thin">
        <color rgb="FF54BB95"/>
      </right>
      <top/>
      <bottom/>
      <diagonal/>
    </border>
    <border>
      <left style="thin">
        <color rgb="FF54BB95"/>
      </left>
      <right/>
      <top/>
      <bottom style="thin">
        <color rgb="FF54BB95"/>
      </bottom>
      <diagonal/>
    </border>
    <border>
      <left/>
      <right/>
      <top/>
      <bottom style="thin">
        <color rgb="FF54BB95"/>
      </bottom>
      <diagonal/>
    </border>
    <border>
      <left/>
      <right style="thin">
        <color rgb="FF54BB95"/>
      </right>
      <top/>
      <bottom style="thin">
        <color rgb="FF54BB95"/>
      </bottom>
      <diagonal/>
    </border>
    <border>
      <left style="thin">
        <color rgb="FF597268"/>
      </left>
      <right/>
      <top style="thin">
        <color rgb="FF597268"/>
      </top>
      <bottom/>
      <diagonal/>
    </border>
    <border>
      <left/>
      <right/>
      <top style="thin">
        <color rgb="FF597268"/>
      </top>
      <bottom/>
      <diagonal/>
    </border>
    <border>
      <left/>
      <right style="thin">
        <color rgb="FF597268"/>
      </right>
      <top style="thin">
        <color rgb="FF597268"/>
      </top>
      <bottom/>
      <diagonal/>
    </border>
    <border>
      <left style="thin">
        <color rgb="FF597268"/>
      </left>
      <right/>
      <top/>
      <bottom/>
      <diagonal/>
    </border>
    <border>
      <left/>
      <right style="thin">
        <color rgb="FF597268"/>
      </right>
      <top/>
      <bottom/>
      <diagonal/>
    </border>
    <border>
      <left style="thin">
        <color rgb="FF597268"/>
      </left>
      <right/>
      <top/>
      <bottom style="thin">
        <color rgb="FF597268"/>
      </bottom>
      <diagonal/>
    </border>
    <border>
      <left/>
      <right/>
      <top/>
      <bottom style="thin">
        <color rgb="FF597268"/>
      </bottom>
      <diagonal/>
    </border>
    <border>
      <left/>
      <right style="thin">
        <color rgb="FF597268"/>
      </right>
      <top/>
      <bottom style="thin">
        <color rgb="FF597268"/>
      </bottom>
      <diagonal/>
    </border>
    <border>
      <left style="thin">
        <color rgb="FFACB5E2"/>
      </left>
      <right/>
      <top style="thin">
        <color rgb="FFACB5E2"/>
      </top>
      <bottom/>
      <diagonal/>
    </border>
    <border>
      <left/>
      <right/>
      <top style="thin">
        <color rgb="FFACB5E2"/>
      </top>
      <bottom/>
      <diagonal/>
    </border>
    <border>
      <left/>
      <right style="thin">
        <color rgb="FFACB5E2"/>
      </right>
      <top style="thin">
        <color rgb="FFACB5E2"/>
      </top>
      <bottom/>
      <diagonal/>
    </border>
    <border>
      <left style="thin">
        <color rgb="FFACB5E2"/>
      </left>
      <right/>
      <top/>
      <bottom/>
      <diagonal/>
    </border>
    <border>
      <left/>
      <right style="thin">
        <color rgb="FFACB5E2"/>
      </right>
      <top/>
      <bottom/>
      <diagonal/>
    </border>
    <border>
      <left style="thin">
        <color rgb="FFACB5E2"/>
      </left>
      <right/>
      <top/>
      <bottom style="thin">
        <color rgb="FFACB5E2"/>
      </bottom>
      <diagonal/>
    </border>
    <border>
      <left/>
      <right/>
      <top/>
      <bottom style="thin">
        <color rgb="FFACB5E2"/>
      </bottom>
      <diagonal/>
    </border>
    <border>
      <left/>
      <right style="thin">
        <color rgb="FFACB5E2"/>
      </right>
      <top/>
      <bottom style="thin">
        <color rgb="FFACB5E2"/>
      </bottom>
      <diagonal/>
    </border>
    <border>
      <left style="thin">
        <color rgb="FF722A44"/>
      </left>
      <right/>
      <top style="thin">
        <color rgb="FF722A44"/>
      </top>
      <bottom/>
      <diagonal/>
    </border>
    <border>
      <left/>
      <right/>
      <top style="thin">
        <color rgb="FF722A44"/>
      </top>
      <bottom/>
      <diagonal/>
    </border>
    <border>
      <left/>
      <right style="thin">
        <color rgb="FF722A44"/>
      </right>
      <top style="thin">
        <color rgb="FF722A44"/>
      </top>
      <bottom/>
      <diagonal/>
    </border>
    <border>
      <left style="thin">
        <color rgb="FF722A44"/>
      </left>
      <right/>
      <top/>
      <bottom/>
      <diagonal/>
    </border>
    <border>
      <left/>
      <right style="thin">
        <color rgb="FF722A44"/>
      </right>
      <top/>
      <bottom/>
      <diagonal/>
    </border>
    <border>
      <left style="thin">
        <color rgb="FF722A44"/>
      </left>
      <right/>
      <top/>
      <bottom style="thin">
        <color rgb="FF722A44"/>
      </bottom>
      <diagonal/>
    </border>
    <border>
      <left/>
      <right/>
      <top/>
      <bottom style="thin">
        <color rgb="FF722A44"/>
      </bottom>
      <diagonal/>
    </border>
    <border>
      <left/>
      <right style="thin">
        <color rgb="FF722A44"/>
      </right>
      <top/>
      <bottom style="thin">
        <color rgb="FF722A44"/>
      </bottom>
      <diagonal/>
    </border>
    <border>
      <left style="thin">
        <color rgb="FF085FC3"/>
      </left>
      <right/>
      <top style="thin">
        <color rgb="FF085FC3"/>
      </top>
      <bottom/>
      <diagonal/>
    </border>
    <border>
      <left/>
      <right/>
      <top style="thin">
        <color rgb="FF085FC3"/>
      </top>
      <bottom/>
      <diagonal/>
    </border>
    <border>
      <left/>
      <right style="thin">
        <color rgb="FF085FC3"/>
      </right>
      <top style="thin">
        <color rgb="FF085FC3"/>
      </top>
      <bottom/>
      <diagonal/>
    </border>
    <border>
      <left style="thin">
        <color rgb="FF085FC3"/>
      </left>
      <right/>
      <top/>
      <bottom/>
      <diagonal/>
    </border>
    <border>
      <left/>
      <right style="thin">
        <color rgb="FF085FC3"/>
      </right>
      <top/>
      <bottom/>
      <diagonal/>
    </border>
    <border>
      <left style="thin">
        <color rgb="FF085FC3"/>
      </left>
      <right/>
      <top/>
      <bottom style="thin">
        <color rgb="FF085FC3"/>
      </bottom>
      <diagonal/>
    </border>
    <border>
      <left/>
      <right/>
      <top/>
      <bottom style="thin">
        <color rgb="FF085FC3"/>
      </bottom>
      <diagonal/>
    </border>
    <border>
      <left/>
      <right style="thin">
        <color rgb="FF085FC3"/>
      </right>
      <top/>
      <bottom style="thin">
        <color rgb="FF085FC3"/>
      </bottom>
      <diagonal/>
    </border>
    <border>
      <left style="thin">
        <color rgb="FF81A93D"/>
      </left>
      <right/>
      <top style="thin">
        <color rgb="FF81A93D"/>
      </top>
      <bottom/>
      <diagonal/>
    </border>
    <border>
      <left/>
      <right/>
      <top style="thin">
        <color rgb="FF81A93D"/>
      </top>
      <bottom/>
      <diagonal/>
    </border>
    <border>
      <left/>
      <right style="thin">
        <color rgb="FF81A93D"/>
      </right>
      <top style="thin">
        <color rgb="FF81A93D"/>
      </top>
      <bottom/>
      <diagonal/>
    </border>
    <border>
      <left style="thin">
        <color rgb="FF81A93D"/>
      </left>
      <right/>
      <top/>
      <bottom/>
      <diagonal/>
    </border>
    <border>
      <left/>
      <right style="thin">
        <color rgb="FF81A93D"/>
      </right>
      <top/>
      <bottom/>
      <diagonal/>
    </border>
    <border>
      <left style="thin">
        <color rgb="FF81A93D"/>
      </left>
      <right/>
      <top/>
      <bottom style="thin">
        <color rgb="FF81A93D"/>
      </bottom>
      <diagonal/>
    </border>
    <border>
      <left/>
      <right/>
      <top/>
      <bottom style="thin">
        <color rgb="FF81A93D"/>
      </bottom>
      <diagonal/>
    </border>
    <border>
      <left/>
      <right style="thin">
        <color rgb="FF81A93D"/>
      </right>
      <top/>
      <bottom style="thin">
        <color rgb="FF81A93D"/>
      </bottom>
      <diagonal/>
    </border>
    <border>
      <left style="thin">
        <color rgb="FFBF0BF8"/>
      </left>
      <right/>
      <top style="thin">
        <color rgb="FFBF0BF8"/>
      </top>
      <bottom/>
      <diagonal/>
    </border>
    <border>
      <left/>
      <right/>
      <top style="thin">
        <color rgb="FFBF0BF8"/>
      </top>
      <bottom/>
      <diagonal/>
    </border>
    <border>
      <left/>
      <right style="thin">
        <color rgb="FFBF0BF8"/>
      </right>
      <top style="thin">
        <color rgb="FFBF0BF8"/>
      </top>
      <bottom/>
      <diagonal/>
    </border>
    <border>
      <left style="thin">
        <color rgb="FFBF0BF8"/>
      </left>
      <right/>
      <top/>
      <bottom/>
      <diagonal/>
    </border>
    <border>
      <left/>
      <right style="thin">
        <color rgb="FFBF0BF8"/>
      </right>
      <top/>
      <bottom/>
      <diagonal/>
    </border>
    <border>
      <left style="thin">
        <color rgb="FFBF0BF8"/>
      </left>
      <right/>
      <top/>
      <bottom style="thin">
        <color rgb="FFBF0BF8"/>
      </bottom>
      <diagonal/>
    </border>
    <border>
      <left/>
      <right/>
      <top/>
      <bottom style="thin">
        <color rgb="FFBF0BF8"/>
      </bottom>
      <diagonal/>
    </border>
    <border>
      <left/>
      <right style="thin">
        <color rgb="FFBF0BF8"/>
      </right>
      <top/>
      <bottom style="thin">
        <color rgb="FFBF0BF8"/>
      </bottom>
      <diagonal/>
    </border>
    <border>
      <left style="thin">
        <color rgb="FF1F19A3"/>
      </left>
      <right/>
      <top style="thin">
        <color rgb="FF1F19A3"/>
      </top>
      <bottom/>
      <diagonal/>
    </border>
    <border>
      <left/>
      <right/>
      <top style="thin">
        <color rgb="FF1F19A3"/>
      </top>
      <bottom/>
      <diagonal/>
    </border>
    <border>
      <left/>
      <right style="thin">
        <color rgb="FF1F19A3"/>
      </right>
      <top style="thin">
        <color rgb="FF1F19A3"/>
      </top>
      <bottom/>
      <diagonal/>
    </border>
    <border>
      <left style="thin">
        <color rgb="FF1F19A3"/>
      </left>
      <right/>
      <top/>
      <bottom/>
      <diagonal/>
    </border>
    <border>
      <left/>
      <right style="thin">
        <color rgb="FF1F19A3"/>
      </right>
      <top/>
      <bottom/>
      <diagonal/>
    </border>
    <border>
      <left style="thin">
        <color rgb="FF1F19A3"/>
      </left>
      <right/>
      <top/>
      <bottom style="thin">
        <color rgb="FF1F19A3"/>
      </bottom>
      <diagonal/>
    </border>
    <border>
      <left/>
      <right/>
      <top/>
      <bottom style="thin">
        <color rgb="FF1F19A3"/>
      </bottom>
      <diagonal/>
    </border>
    <border>
      <left/>
      <right style="thin">
        <color rgb="FF1F19A3"/>
      </right>
      <top/>
      <bottom style="thin">
        <color rgb="FF1F19A3"/>
      </bottom>
      <diagonal/>
    </border>
    <border>
      <left style="thin">
        <color rgb="FF7E4578"/>
      </left>
      <right/>
      <top style="thin">
        <color rgb="FF7E4578"/>
      </top>
      <bottom/>
      <diagonal/>
    </border>
    <border>
      <left/>
      <right/>
      <top style="thin">
        <color rgb="FF7E4578"/>
      </top>
      <bottom/>
      <diagonal/>
    </border>
    <border>
      <left/>
      <right style="thin">
        <color rgb="FF7E4578"/>
      </right>
      <top style="thin">
        <color rgb="FF7E4578"/>
      </top>
      <bottom/>
      <diagonal/>
    </border>
    <border>
      <left style="thin">
        <color rgb="FF7E4578"/>
      </left>
      <right/>
      <top/>
      <bottom/>
      <diagonal/>
    </border>
    <border>
      <left/>
      <right style="thin">
        <color rgb="FF7E4578"/>
      </right>
      <top/>
      <bottom/>
      <diagonal/>
    </border>
    <border>
      <left style="thin">
        <color rgb="FF7E4578"/>
      </left>
      <right/>
      <top/>
      <bottom style="thin">
        <color rgb="FF7E4578"/>
      </bottom>
      <diagonal/>
    </border>
    <border>
      <left/>
      <right/>
      <top/>
      <bottom style="thin">
        <color rgb="FF7E4578"/>
      </bottom>
      <diagonal/>
    </border>
    <border>
      <left/>
      <right style="thin">
        <color rgb="FF7E4578"/>
      </right>
      <top/>
      <bottom style="thin">
        <color rgb="FF7E4578"/>
      </bottom>
      <diagonal/>
    </border>
    <border>
      <left style="thin">
        <color rgb="FFD62A62"/>
      </left>
      <right/>
      <top style="thin">
        <color rgb="FFD62A62"/>
      </top>
      <bottom/>
      <diagonal/>
    </border>
    <border>
      <left/>
      <right/>
      <top style="thin">
        <color rgb="FFD62A62"/>
      </top>
      <bottom/>
      <diagonal/>
    </border>
    <border>
      <left/>
      <right style="thin">
        <color rgb="FFD62A62"/>
      </right>
      <top style="thin">
        <color rgb="FFD62A62"/>
      </top>
      <bottom/>
      <diagonal/>
    </border>
    <border>
      <left style="thin">
        <color rgb="FFD62A62"/>
      </left>
      <right/>
      <top/>
      <bottom/>
      <diagonal/>
    </border>
    <border>
      <left/>
      <right style="thin">
        <color rgb="FFD62A62"/>
      </right>
      <top/>
      <bottom/>
      <diagonal/>
    </border>
    <border>
      <left style="thin">
        <color rgb="FFD62A62"/>
      </left>
      <right/>
      <top/>
      <bottom style="thin">
        <color rgb="FFD62A62"/>
      </bottom>
      <diagonal/>
    </border>
    <border>
      <left/>
      <right/>
      <top/>
      <bottom style="thin">
        <color rgb="FFD62A62"/>
      </bottom>
      <diagonal/>
    </border>
    <border>
      <left/>
      <right style="thin">
        <color rgb="FFD62A62"/>
      </right>
      <top/>
      <bottom style="thin">
        <color rgb="FFD62A62"/>
      </bottom>
      <diagonal/>
    </border>
    <border>
      <left style="thin">
        <color rgb="FF8BBA2A"/>
      </left>
      <right/>
      <top style="thin">
        <color rgb="FF8BBA2A"/>
      </top>
      <bottom/>
      <diagonal/>
    </border>
    <border>
      <left/>
      <right/>
      <top style="thin">
        <color rgb="FF8BBA2A"/>
      </top>
      <bottom/>
      <diagonal/>
    </border>
    <border>
      <left/>
      <right style="thin">
        <color rgb="FF8BBA2A"/>
      </right>
      <top style="thin">
        <color rgb="FF8BBA2A"/>
      </top>
      <bottom/>
      <diagonal/>
    </border>
    <border>
      <left style="thin">
        <color rgb="FF8BBA2A"/>
      </left>
      <right/>
      <top/>
      <bottom/>
      <diagonal/>
    </border>
    <border>
      <left/>
      <right style="thin">
        <color rgb="FF8BBA2A"/>
      </right>
      <top/>
      <bottom/>
      <diagonal/>
    </border>
    <border>
      <left style="thin">
        <color rgb="FF8BBA2A"/>
      </left>
      <right/>
      <top/>
      <bottom style="thin">
        <color rgb="FF8BBA2A"/>
      </bottom>
      <diagonal/>
    </border>
    <border>
      <left/>
      <right/>
      <top/>
      <bottom style="thin">
        <color rgb="FF8BBA2A"/>
      </bottom>
      <diagonal/>
    </border>
    <border>
      <left/>
      <right style="thin">
        <color rgb="FF8BBA2A"/>
      </right>
      <top/>
      <bottom style="thin">
        <color rgb="FF8BBA2A"/>
      </bottom>
      <diagonal/>
    </border>
    <border>
      <left style="thin">
        <color rgb="FF39507D"/>
      </left>
      <right/>
      <top style="thin">
        <color rgb="FF39507D"/>
      </top>
      <bottom/>
      <diagonal/>
    </border>
    <border>
      <left/>
      <right/>
      <top style="thin">
        <color rgb="FF39507D"/>
      </top>
      <bottom/>
      <diagonal/>
    </border>
    <border>
      <left/>
      <right style="thin">
        <color rgb="FF39507D"/>
      </right>
      <top style="thin">
        <color rgb="FF39507D"/>
      </top>
      <bottom/>
      <diagonal/>
    </border>
    <border>
      <left style="thin">
        <color rgb="FF39507D"/>
      </left>
      <right/>
      <top/>
      <bottom/>
      <diagonal/>
    </border>
    <border>
      <left/>
      <right style="thin">
        <color rgb="FF39507D"/>
      </right>
      <top/>
      <bottom/>
      <diagonal/>
    </border>
    <border>
      <left style="thin">
        <color rgb="FF39507D"/>
      </left>
      <right/>
      <top/>
      <bottom style="thin">
        <color rgb="FF39507D"/>
      </bottom>
      <diagonal/>
    </border>
    <border>
      <left/>
      <right/>
      <top/>
      <bottom style="thin">
        <color rgb="FF39507D"/>
      </bottom>
      <diagonal/>
    </border>
    <border>
      <left/>
      <right style="thin">
        <color rgb="FF39507D"/>
      </right>
      <top/>
      <bottom style="thin">
        <color rgb="FF39507D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6BA245"/>
      </left>
      <right/>
      <top style="thin">
        <color rgb="FF6BA245"/>
      </top>
      <bottom/>
      <diagonal/>
    </border>
    <border>
      <left/>
      <right/>
      <top style="thin">
        <color rgb="FF6BA245"/>
      </top>
      <bottom/>
      <diagonal/>
    </border>
    <border>
      <left/>
      <right style="thin">
        <color rgb="FF6BA245"/>
      </right>
      <top style="thin">
        <color rgb="FF6BA245"/>
      </top>
      <bottom/>
      <diagonal/>
    </border>
    <border>
      <left style="thin">
        <color rgb="FF6BA245"/>
      </left>
      <right/>
      <top/>
      <bottom/>
      <diagonal/>
    </border>
    <border>
      <left/>
      <right style="thin">
        <color rgb="FF6BA245"/>
      </right>
      <top/>
      <bottom/>
      <diagonal/>
    </border>
    <border>
      <left style="thin">
        <color rgb="FF6BA245"/>
      </left>
      <right/>
      <top/>
      <bottom style="thin">
        <color rgb="FF6BA245"/>
      </bottom>
      <diagonal/>
    </border>
    <border>
      <left/>
      <right/>
      <top/>
      <bottom style="thin">
        <color rgb="FF6BA245"/>
      </bottom>
      <diagonal/>
    </border>
    <border>
      <left/>
      <right style="thin">
        <color rgb="FF6BA245"/>
      </right>
      <top/>
      <bottom style="thin">
        <color rgb="FF6BA245"/>
      </bottom>
      <diagonal/>
    </border>
    <border>
      <left style="thin">
        <color rgb="FFEA58CC"/>
      </left>
      <right/>
      <top style="thin">
        <color rgb="FFEA58CC"/>
      </top>
      <bottom/>
      <diagonal/>
    </border>
    <border>
      <left/>
      <right/>
      <top style="thin">
        <color rgb="FFEA58CC"/>
      </top>
      <bottom/>
      <diagonal/>
    </border>
    <border>
      <left/>
      <right style="thin">
        <color rgb="FFEA58CC"/>
      </right>
      <top style="thin">
        <color rgb="FFEA58CC"/>
      </top>
      <bottom/>
      <diagonal/>
    </border>
    <border>
      <left style="thin">
        <color rgb="FFEA58CC"/>
      </left>
      <right/>
      <top/>
      <bottom/>
      <diagonal/>
    </border>
    <border>
      <left/>
      <right style="thin">
        <color rgb="FFEA58CC"/>
      </right>
      <top/>
      <bottom/>
      <diagonal/>
    </border>
    <border>
      <left style="thin">
        <color rgb="FFEA58CC"/>
      </left>
      <right/>
      <top/>
      <bottom style="thin">
        <color rgb="FFEA58CC"/>
      </bottom>
      <diagonal/>
    </border>
    <border>
      <left/>
      <right/>
      <top/>
      <bottom style="thin">
        <color rgb="FFEA58CC"/>
      </bottom>
      <diagonal/>
    </border>
    <border>
      <left/>
      <right style="thin">
        <color rgb="FFEA58CC"/>
      </right>
      <top/>
      <bottom style="thin">
        <color rgb="FFEA58CC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14" fontId="3" fillId="37" borderId="10" applyFont="0" applyFill="0" applyBorder="0" applyAlignment="0">
      <alignment horizontal="center"/>
    </xf>
  </cellStyleXfs>
  <cellXfs count="609">
    <xf numFmtId="0" fontId="0" fillId="0" borderId="0" xfId="0"/>
    <xf numFmtId="14" fontId="0" fillId="0" borderId="0" xfId="0" applyNumberFormat="1"/>
    <xf numFmtId="16" fontId="0" fillId="0" borderId="0" xfId="0" applyNumberFormat="1"/>
    <xf numFmtId="10" fontId="0" fillId="0" borderId="0" xfId="0" applyNumberFormat="1"/>
    <xf numFmtId="0" fontId="8" fillId="7" borderId="3" xfId="0" applyFont="1" applyFill="1" applyBorder="1" applyAlignment="1">
      <alignment horizontal="center" vertical="center" wrapText="1"/>
    </xf>
    <xf numFmtId="0" fontId="8" fillId="8" borderId="3" xfId="0" applyFont="1" applyFill="1" applyBorder="1" applyAlignment="1">
      <alignment horizontal="center" vertical="center" wrapText="1"/>
    </xf>
    <xf numFmtId="0" fontId="8" fillId="29" borderId="3" xfId="0" applyFont="1" applyFill="1" applyBorder="1" applyAlignment="1">
      <alignment horizontal="center" vertical="center" wrapText="1"/>
    </xf>
    <xf numFmtId="0" fontId="8" fillId="11" borderId="3" xfId="0" applyFont="1" applyFill="1" applyBorder="1" applyAlignment="1">
      <alignment horizontal="center" vertical="center" wrapText="1"/>
    </xf>
    <xf numFmtId="0" fontId="8" fillId="24" borderId="3" xfId="0" applyFont="1" applyFill="1" applyBorder="1" applyAlignment="1">
      <alignment horizontal="center" vertical="center" wrapText="1"/>
    </xf>
    <xf numFmtId="0" fontId="8" fillId="9" borderId="3" xfId="0" applyFont="1" applyFill="1" applyBorder="1" applyAlignment="1">
      <alignment horizontal="center" vertical="center" wrapText="1"/>
    </xf>
    <xf numFmtId="0" fontId="8" fillId="10" borderId="3" xfId="0" applyFont="1" applyFill="1" applyBorder="1" applyAlignment="1">
      <alignment horizontal="center" vertical="center" wrapText="1"/>
    </xf>
    <xf numFmtId="0" fontId="8" fillId="13" borderId="3" xfId="0" applyFont="1" applyFill="1" applyBorder="1" applyAlignment="1">
      <alignment horizontal="center" vertical="center" wrapText="1"/>
    </xf>
    <xf numFmtId="0" fontId="8" fillId="20" borderId="3" xfId="0" applyFont="1" applyFill="1" applyBorder="1" applyAlignment="1">
      <alignment horizontal="center" vertical="center" wrapText="1"/>
    </xf>
    <xf numFmtId="0" fontId="8" fillId="14" borderId="3" xfId="0" applyFont="1" applyFill="1" applyBorder="1" applyAlignment="1">
      <alignment horizontal="center" vertical="center" wrapText="1"/>
    </xf>
    <xf numFmtId="0" fontId="8" fillId="15" borderId="3" xfId="0" applyFont="1" applyFill="1" applyBorder="1" applyAlignment="1">
      <alignment horizontal="center" vertical="center" wrapText="1"/>
    </xf>
    <xf numFmtId="0" fontId="8" fillId="16" borderId="3" xfId="0" applyFont="1" applyFill="1" applyBorder="1" applyAlignment="1">
      <alignment horizontal="center" vertical="center" wrapText="1"/>
    </xf>
    <xf numFmtId="0" fontId="8" fillId="17" borderId="3" xfId="0" applyFont="1" applyFill="1" applyBorder="1" applyAlignment="1">
      <alignment horizontal="center" vertical="center" wrapText="1"/>
    </xf>
    <xf numFmtId="0" fontId="8" fillId="12" borderId="3" xfId="0" applyFont="1" applyFill="1" applyBorder="1" applyAlignment="1">
      <alignment horizontal="center" vertical="center" wrapText="1"/>
    </xf>
    <xf numFmtId="0" fontId="8" fillId="19" borderId="3" xfId="0" applyFont="1" applyFill="1" applyBorder="1" applyAlignment="1">
      <alignment horizontal="center" vertical="center" wrapText="1"/>
    </xf>
    <xf numFmtId="0" fontId="8" fillId="18" borderId="3" xfId="0" applyFont="1" applyFill="1" applyBorder="1" applyAlignment="1">
      <alignment horizontal="center" vertical="center" wrapText="1"/>
    </xf>
    <xf numFmtId="0" fontId="8" fillId="21" borderId="3" xfId="0" applyFont="1" applyFill="1" applyBorder="1" applyAlignment="1">
      <alignment horizontal="center" vertical="center" wrapText="1"/>
    </xf>
    <xf numFmtId="0" fontId="8" fillId="22" borderId="3" xfId="0" applyFont="1" applyFill="1" applyBorder="1" applyAlignment="1">
      <alignment horizontal="center" vertical="center" wrapText="1"/>
    </xf>
    <xf numFmtId="0" fontId="8" fillId="23" borderId="3" xfId="0" applyFont="1" applyFill="1" applyBorder="1" applyAlignment="1">
      <alignment horizontal="center" vertical="center" wrapText="1"/>
    </xf>
    <xf numFmtId="0" fontId="8" fillId="25" borderId="3" xfId="0" applyFont="1" applyFill="1" applyBorder="1" applyAlignment="1">
      <alignment horizontal="center" vertical="center" wrapText="1"/>
    </xf>
    <xf numFmtId="0" fontId="8" fillId="26" borderId="3" xfId="0" applyFont="1" applyFill="1" applyBorder="1" applyAlignment="1">
      <alignment horizontal="center" vertical="center" wrapText="1"/>
    </xf>
    <xf numFmtId="0" fontId="8" fillId="27" borderId="3" xfId="0" applyFont="1" applyFill="1" applyBorder="1" applyAlignment="1">
      <alignment horizontal="center" vertical="center" wrapText="1"/>
    </xf>
    <xf numFmtId="0" fontId="8" fillId="28" borderId="3" xfId="0" applyFont="1" applyFill="1" applyBorder="1" applyAlignment="1">
      <alignment horizontal="center" vertical="center" wrapText="1"/>
    </xf>
    <xf numFmtId="0" fontId="8" fillId="30" borderId="3" xfId="0" applyFont="1" applyFill="1" applyBorder="1" applyAlignment="1">
      <alignment horizontal="center" vertical="center" wrapText="1"/>
    </xf>
    <xf numFmtId="0" fontId="8" fillId="31" borderId="3" xfId="0" applyFont="1" applyFill="1" applyBorder="1" applyAlignment="1">
      <alignment horizontal="center" vertical="center" wrapText="1"/>
    </xf>
    <xf numFmtId="0" fontId="8" fillId="32" borderId="3" xfId="0" applyFont="1" applyFill="1" applyBorder="1" applyAlignment="1">
      <alignment horizontal="center" vertical="center" wrapText="1"/>
    </xf>
    <xf numFmtId="0" fontId="8" fillId="33" borderId="3" xfId="0" applyFont="1" applyFill="1" applyBorder="1" applyAlignment="1">
      <alignment horizontal="center" vertical="center" wrapText="1"/>
    </xf>
    <xf numFmtId="14" fontId="3" fillId="34" borderId="0" xfId="0" applyNumberFormat="1" applyFont="1" applyFill="1"/>
    <xf numFmtId="0" fontId="5" fillId="3" borderId="4" xfId="0" applyFont="1" applyFill="1" applyBorder="1"/>
    <xf numFmtId="49" fontId="0" fillId="0" borderId="0" xfId="0" applyNumberFormat="1" applyAlignment="1">
      <alignment horizontal="center"/>
    </xf>
    <xf numFmtId="14" fontId="5" fillId="3" borderId="4" xfId="0" applyNumberFormat="1" applyFont="1" applyFill="1" applyBorder="1"/>
    <xf numFmtId="0" fontId="5" fillId="3" borderId="9" xfId="0" applyFont="1" applyFill="1" applyBorder="1"/>
    <xf numFmtId="49" fontId="5" fillId="3" borderId="4" xfId="0" applyNumberFormat="1" applyFont="1" applyFill="1" applyBorder="1" applyAlignment="1">
      <alignment horizontal="center"/>
    </xf>
    <xf numFmtId="0" fontId="12" fillId="36" borderId="0" xfId="0" applyFont="1" applyFill="1"/>
    <xf numFmtId="14" fontId="12" fillId="36" borderId="0" xfId="0" applyNumberFormat="1" applyFont="1" applyFill="1" applyAlignment="1">
      <alignment horizontal="left"/>
    </xf>
    <xf numFmtId="0" fontId="0" fillId="38" borderId="0" xfId="0" applyFill="1"/>
    <xf numFmtId="0" fontId="13" fillId="36" borderId="11" xfId="0" applyFont="1" applyFill="1" applyBorder="1"/>
    <xf numFmtId="0" fontId="12" fillId="36" borderId="12" xfId="0" applyFont="1" applyFill="1" applyBorder="1"/>
    <xf numFmtId="0" fontId="11" fillId="36" borderId="12" xfId="0" applyFont="1" applyFill="1" applyBorder="1"/>
    <xf numFmtId="0" fontId="13" fillId="36" borderId="13" xfId="0" applyFont="1" applyFill="1" applyBorder="1"/>
    <xf numFmtId="14" fontId="12" fillId="36" borderId="14" xfId="0" applyNumberFormat="1" applyFont="1" applyFill="1" applyBorder="1" applyAlignment="1">
      <alignment horizontal="left"/>
    </xf>
    <xf numFmtId="0" fontId="11" fillId="36" borderId="15" xfId="0" applyFont="1" applyFill="1" applyBorder="1"/>
    <xf numFmtId="0" fontId="5" fillId="3" borderId="16" xfId="0" applyFont="1" applyFill="1" applyBorder="1"/>
    <xf numFmtId="0" fontId="5" fillId="3" borderId="17" xfId="0" applyFont="1" applyFill="1" applyBorder="1"/>
    <xf numFmtId="0" fontId="5" fillId="3" borderId="18" xfId="0" applyFont="1" applyFill="1" applyBorder="1"/>
    <xf numFmtId="0" fontId="0" fillId="41" borderId="0" xfId="0" applyFill="1"/>
    <xf numFmtId="0" fontId="0" fillId="40" borderId="21" xfId="0" applyFill="1" applyBorder="1"/>
    <xf numFmtId="0" fontId="0" fillId="40" borderId="23" xfId="0" applyFill="1" applyBorder="1"/>
    <xf numFmtId="0" fontId="0" fillId="40" borderId="24" xfId="0" applyFill="1" applyBorder="1"/>
    <xf numFmtId="0" fontId="0" fillId="40" borderId="22" xfId="0" applyFill="1" applyBorder="1"/>
    <xf numFmtId="0" fontId="0" fillId="40" borderId="25" xfId="0" applyFill="1" applyBorder="1"/>
    <xf numFmtId="0" fontId="0" fillId="44" borderId="36" xfId="0" applyFill="1" applyBorder="1"/>
    <xf numFmtId="0" fontId="0" fillId="44" borderId="37" xfId="0" applyFill="1" applyBorder="1"/>
    <xf numFmtId="0" fontId="0" fillId="44" borderId="38" xfId="0" applyFill="1" applyBorder="1"/>
    <xf numFmtId="0" fontId="0" fillId="44" borderId="39" xfId="0" applyFill="1" applyBorder="1"/>
    <xf numFmtId="0" fontId="0" fillId="44" borderId="40" xfId="0" applyFill="1" applyBorder="1"/>
    <xf numFmtId="0" fontId="0" fillId="46" borderId="47" xfId="0" applyFill="1" applyBorder="1"/>
    <xf numFmtId="0" fontId="0" fillId="46" borderId="48" xfId="0" applyFill="1" applyBorder="1"/>
    <xf numFmtId="0" fontId="0" fillId="46" borderId="49" xfId="0" applyFill="1" applyBorder="1"/>
    <xf numFmtId="0" fontId="0" fillId="46" borderId="50" xfId="0" applyFill="1" applyBorder="1"/>
    <xf numFmtId="0" fontId="0" fillId="46" borderId="51" xfId="0" applyFill="1" applyBorder="1"/>
    <xf numFmtId="0" fontId="14" fillId="47" borderId="0" xfId="0" applyFont="1" applyFill="1" applyAlignment="1">
      <alignment vertical="center"/>
    </xf>
    <xf numFmtId="0" fontId="0" fillId="47" borderId="0" xfId="0" applyFill="1"/>
    <xf numFmtId="0" fontId="0" fillId="47" borderId="0" xfId="0" quotePrefix="1" applyFill="1"/>
    <xf numFmtId="0" fontId="20" fillId="47" borderId="0" xfId="0" applyFont="1" applyFill="1" applyAlignment="1">
      <alignment vertical="top"/>
    </xf>
    <xf numFmtId="0" fontId="0" fillId="0" borderId="52" xfId="0" applyBorder="1"/>
    <xf numFmtId="0" fontId="0" fillId="4" borderId="52" xfId="0" applyFill="1" applyBorder="1"/>
    <xf numFmtId="0" fontId="21" fillId="0" borderId="3" xfId="0" applyFont="1" applyBorder="1"/>
    <xf numFmtId="0" fontId="22" fillId="47" borderId="0" xfId="0" applyFont="1" applyFill="1" applyAlignment="1">
      <alignment vertical="top"/>
    </xf>
    <xf numFmtId="0" fontId="23" fillId="47" borderId="0" xfId="0" applyFont="1" applyFill="1" applyAlignment="1">
      <alignment vertical="top"/>
    </xf>
    <xf numFmtId="0" fontId="24" fillId="47" borderId="0" xfId="0" applyFont="1" applyFill="1" applyAlignment="1">
      <alignment vertical="top"/>
    </xf>
    <xf numFmtId="0" fontId="0" fillId="35" borderId="53" xfId="0" applyFill="1" applyBorder="1"/>
    <xf numFmtId="0" fontId="0" fillId="4" borderId="53" xfId="0" applyFill="1" applyBorder="1"/>
    <xf numFmtId="0" fontId="0" fillId="35" borderId="5" xfId="0" applyFill="1" applyBorder="1"/>
    <xf numFmtId="0" fontId="0" fillId="48" borderId="54" xfId="0" applyFill="1" applyBorder="1"/>
    <xf numFmtId="0" fontId="0" fillId="49" borderId="54" xfId="0" applyFill="1" applyBorder="1"/>
    <xf numFmtId="0" fontId="0" fillId="50" borderId="54" xfId="0" applyFill="1" applyBorder="1"/>
    <xf numFmtId="0" fontId="0" fillId="51" borderId="7" xfId="0" applyFill="1" applyBorder="1"/>
    <xf numFmtId="0" fontId="13" fillId="36" borderId="58" xfId="0" applyFont="1" applyFill="1" applyBorder="1"/>
    <xf numFmtId="0" fontId="12" fillId="36" borderId="59" xfId="0" applyFont="1" applyFill="1" applyBorder="1"/>
    <xf numFmtId="0" fontId="11" fillId="36" borderId="59" xfId="0" applyFont="1" applyFill="1" applyBorder="1"/>
    <xf numFmtId="0" fontId="13" fillId="36" borderId="60" xfId="0" applyFont="1" applyFill="1" applyBorder="1"/>
    <xf numFmtId="14" fontId="12" fillId="36" borderId="61" xfId="0" applyNumberFormat="1" applyFont="1" applyFill="1" applyBorder="1" applyAlignment="1">
      <alignment horizontal="left"/>
    </xf>
    <xf numFmtId="0" fontId="11" fillId="36" borderId="62" xfId="0" applyFont="1" applyFill="1" applyBorder="1"/>
    <xf numFmtId="0" fontId="0" fillId="57" borderId="0" xfId="0" applyFill="1"/>
    <xf numFmtId="0" fontId="4" fillId="56" borderId="1" xfId="0" applyFont="1" applyFill="1" applyBorder="1" applyAlignment="1">
      <alignment horizontal="center" vertical="center"/>
    </xf>
    <xf numFmtId="0" fontId="13" fillId="36" borderId="66" xfId="0" applyFont="1" applyFill="1" applyBorder="1"/>
    <xf numFmtId="0" fontId="12" fillId="36" borderId="67" xfId="0" applyFont="1" applyFill="1" applyBorder="1"/>
    <xf numFmtId="0" fontId="11" fillId="36" borderId="67" xfId="0" applyFont="1" applyFill="1" applyBorder="1"/>
    <xf numFmtId="0" fontId="13" fillId="36" borderId="68" xfId="0" applyFont="1" applyFill="1" applyBorder="1"/>
    <xf numFmtId="14" fontId="12" fillId="36" borderId="69" xfId="0" applyNumberFormat="1" applyFont="1" applyFill="1" applyBorder="1" applyAlignment="1">
      <alignment horizontal="left"/>
    </xf>
    <xf numFmtId="0" fontId="11" fillId="36" borderId="70" xfId="0" applyFont="1" applyFill="1" applyBorder="1"/>
    <xf numFmtId="0" fontId="0" fillId="47" borderId="0" xfId="0" applyFill="1" applyAlignment="1">
      <alignment horizontal="center"/>
    </xf>
    <xf numFmtId="0" fontId="3" fillId="39" borderId="1" xfId="0" applyFont="1" applyFill="1" applyBorder="1" applyAlignment="1">
      <alignment horizontal="center" vertical="center"/>
    </xf>
    <xf numFmtId="9" fontId="3" fillId="39" borderId="1" xfId="0" applyNumberFormat="1" applyFont="1" applyFill="1" applyBorder="1" applyAlignment="1">
      <alignment horizontal="center" vertical="center"/>
    </xf>
    <xf numFmtId="9" fontId="4" fillId="56" borderId="1" xfId="0" applyNumberFormat="1" applyFont="1" applyFill="1" applyBorder="1" applyAlignment="1">
      <alignment horizontal="center" vertical="center"/>
    </xf>
    <xf numFmtId="2" fontId="0" fillId="0" borderId="0" xfId="0" applyNumberFormat="1"/>
    <xf numFmtId="0" fontId="13" fillId="36" borderId="74" xfId="0" applyFont="1" applyFill="1" applyBorder="1"/>
    <xf numFmtId="0" fontId="12" fillId="36" borderId="75" xfId="0" applyFont="1" applyFill="1" applyBorder="1"/>
    <xf numFmtId="0" fontId="11" fillId="36" borderId="75" xfId="0" applyFont="1" applyFill="1" applyBorder="1"/>
    <xf numFmtId="0" fontId="13" fillId="36" borderId="76" xfId="0" applyFont="1" applyFill="1" applyBorder="1"/>
    <xf numFmtId="14" fontId="12" fillId="36" borderId="77" xfId="0" applyNumberFormat="1" applyFont="1" applyFill="1" applyBorder="1" applyAlignment="1">
      <alignment horizontal="left"/>
    </xf>
    <xf numFmtId="0" fontId="11" fillId="36" borderId="78" xfId="0" applyFont="1" applyFill="1" applyBorder="1"/>
    <xf numFmtId="0" fontId="13" fillId="36" borderId="82" xfId="0" applyFont="1" applyFill="1" applyBorder="1"/>
    <xf numFmtId="0" fontId="12" fillId="36" borderId="83" xfId="0" applyFont="1" applyFill="1" applyBorder="1"/>
    <xf numFmtId="0" fontId="11" fillId="36" borderId="83" xfId="0" applyFont="1" applyFill="1" applyBorder="1"/>
    <xf numFmtId="0" fontId="13" fillId="36" borderId="84" xfId="0" applyFont="1" applyFill="1" applyBorder="1"/>
    <xf numFmtId="14" fontId="12" fillId="36" borderId="85" xfId="0" applyNumberFormat="1" applyFont="1" applyFill="1" applyBorder="1" applyAlignment="1">
      <alignment horizontal="left"/>
    </xf>
    <xf numFmtId="0" fontId="11" fillId="36" borderId="86" xfId="0" applyFont="1" applyFill="1" applyBorder="1"/>
    <xf numFmtId="0" fontId="17" fillId="38" borderId="0" xfId="0" applyFont="1" applyFill="1" applyAlignment="1">
      <alignment horizontal="center"/>
    </xf>
    <xf numFmtId="0" fontId="14" fillId="38" borderId="0" xfId="0" applyFont="1" applyFill="1" applyAlignment="1">
      <alignment vertical="center"/>
    </xf>
    <xf numFmtId="10" fontId="5" fillId="3" borderId="87" xfId="0" applyNumberFormat="1" applyFont="1" applyFill="1" applyBorder="1"/>
    <xf numFmtId="14" fontId="5" fillId="3" borderId="87" xfId="0" applyNumberFormat="1" applyFont="1" applyFill="1" applyBorder="1"/>
    <xf numFmtId="0" fontId="5" fillId="3" borderId="88" xfId="0" applyFont="1" applyFill="1" applyBorder="1"/>
    <xf numFmtId="14" fontId="3" fillId="65" borderId="5" xfId="0" applyNumberFormat="1" applyFont="1" applyFill="1" applyBorder="1"/>
    <xf numFmtId="0" fontId="13" fillId="36" borderId="93" xfId="0" applyFont="1" applyFill="1" applyBorder="1"/>
    <xf numFmtId="0" fontId="12" fillId="36" borderId="94" xfId="0" applyFont="1" applyFill="1" applyBorder="1"/>
    <xf numFmtId="0" fontId="11" fillId="36" borderId="94" xfId="0" applyFont="1" applyFill="1" applyBorder="1"/>
    <xf numFmtId="0" fontId="13" fillId="36" borderId="95" xfId="0" applyFont="1" applyFill="1" applyBorder="1"/>
    <xf numFmtId="14" fontId="12" fillId="36" borderId="96" xfId="0" applyNumberFormat="1" applyFont="1" applyFill="1" applyBorder="1" applyAlignment="1">
      <alignment horizontal="left"/>
    </xf>
    <xf numFmtId="0" fontId="11" fillId="36" borderId="97" xfId="0" applyFont="1" applyFill="1" applyBorder="1"/>
    <xf numFmtId="0" fontId="4" fillId="55" borderId="1" xfId="0" applyFont="1" applyFill="1" applyBorder="1" applyAlignment="1">
      <alignment horizontal="center" vertical="center"/>
    </xf>
    <xf numFmtId="0" fontId="4" fillId="39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4" fillId="58" borderId="1" xfId="0" applyFont="1" applyFill="1" applyBorder="1" applyAlignment="1">
      <alignment horizontal="center" vertical="center"/>
    </xf>
    <xf numFmtId="0" fontId="4" fillId="66" borderId="1" xfId="0" applyFont="1" applyFill="1" applyBorder="1" applyAlignment="1">
      <alignment horizontal="center" vertical="center"/>
    </xf>
    <xf numFmtId="0" fontId="0" fillId="70" borderId="0" xfId="0" applyFill="1"/>
    <xf numFmtId="0" fontId="32" fillId="0" borderId="0" xfId="0" applyFont="1"/>
    <xf numFmtId="0" fontId="5" fillId="3" borderId="52" xfId="0" applyFont="1" applyFill="1" applyBorder="1"/>
    <xf numFmtId="0" fontId="5" fillId="3" borderId="87" xfId="0" applyFont="1" applyFill="1" applyBorder="1"/>
    <xf numFmtId="14" fontId="3" fillId="74" borderId="5" xfId="0" applyNumberFormat="1" applyFont="1" applyFill="1" applyBorder="1"/>
    <xf numFmtId="14" fontId="3" fillId="75" borderId="5" xfId="0" applyNumberFormat="1" applyFont="1" applyFill="1" applyBorder="1"/>
    <xf numFmtId="14" fontId="3" fillId="76" borderId="5" xfId="0" applyNumberFormat="1" applyFont="1" applyFill="1" applyBorder="1"/>
    <xf numFmtId="14" fontId="3" fillId="77" borderId="5" xfId="0" applyNumberFormat="1" applyFont="1" applyFill="1" applyBorder="1"/>
    <xf numFmtId="14" fontId="3" fillId="78" borderId="5" xfId="0" applyNumberFormat="1" applyFont="1" applyFill="1" applyBorder="1"/>
    <xf numFmtId="0" fontId="0" fillId="0" borderId="0" xfId="0" applyNumberFormat="1"/>
    <xf numFmtId="14" fontId="0" fillId="0" borderId="0" xfId="0" applyNumberFormat="1" applyFont="1"/>
    <xf numFmtId="0" fontId="0" fillId="0" borderId="0" xfId="0" applyNumberFormat="1" applyFont="1"/>
    <xf numFmtId="14" fontId="0" fillId="0" borderId="0" xfId="0" applyNumberFormat="1" applyAlignment="1"/>
    <xf numFmtId="0" fontId="3" fillId="29" borderId="0" xfId="0" applyNumberFormat="1" applyFont="1" applyFill="1"/>
    <xf numFmtId="0" fontId="3" fillId="34" borderId="0" xfId="0" applyNumberFormat="1" applyFont="1" applyFill="1"/>
    <xf numFmtId="0" fontId="3" fillId="7" borderId="0" xfId="0" applyNumberFormat="1" applyFont="1" applyFill="1"/>
    <xf numFmtId="0" fontId="3" fillId="8" borderId="0" xfId="0" applyNumberFormat="1" applyFont="1" applyFill="1"/>
    <xf numFmtId="0" fontId="3" fillId="72" borderId="0" xfId="0" applyNumberFormat="1" applyFont="1" applyFill="1"/>
    <xf numFmtId="0" fontId="3" fillId="24" borderId="0" xfId="0" applyNumberFormat="1" applyFont="1" applyFill="1"/>
    <xf numFmtId="0" fontId="3" fillId="62" borderId="0" xfId="0" applyNumberFormat="1" applyFont="1" applyFill="1"/>
    <xf numFmtId="0" fontId="3" fillId="15" borderId="0" xfId="0" applyNumberFormat="1" applyFont="1" applyFill="1"/>
    <xf numFmtId="0" fontId="3" fillId="69" borderId="0" xfId="0" applyNumberFormat="1" applyFont="1" applyFill="1"/>
    <xf numFmtId="0" fontId="3" fillId="10" borderId="0" xfId="0" applyNumberFormat="1" applyFont="1" applyFill="1"/>
    <xf numFmtId="0" fontId="3" fillId="17" borderId="0" xfId="0" applyNumberFormat="1" applyFont="1" applyFill="1"/>
    <xf numFmtId="0" fontId="3" fillId="67" borderId="0" xfId="0" applyNumberFormat="1" applyFont="1" applyFill="1"/>
    <xf numFmtId="0" fontId="3" fillId="13" borderId="0" xfId="0" applyNumberFormat="1" applyFont="1" applyFill="1"/>
    <xf numFmtId="0" fontId="3" fillId="73" borderId="0" xfId="0" applyNumberFormat="1" applyFont="1" applyFill="1"/>
    <xf numFmtId="0" fontId="3" fillId="68" borderId="0" xfId="0" applyNumberFormat="1" applyFont="1" applyFill="1"/>
    <xf numFmtId="14" fontId="0" fillId="35" borderId="5" xfId="0" applyNumberFormat="1" applyFont="1" applyFill="1" applyBorder="1"/>
    <xf numFmtId="0" fontId="0" fillId="35" borderId="7" xfId="0" applyNumberFormat="1" applyFont="1" applyFill="1" applyBorder="1"/>
    <xf numFmtId="49" fontId="0" fillId="35" borderId="6" xfId="0" applyNumberFormat="1" applyFont="1" applyFill="1" applyBorder="1" applyAlignment="1">
      <alignment horizontal="center"/>
    </xf>
    <xf numFmtId="0" fontId="0" fillId="35" borderId="6" xfId="0" applyNumberFormat="1" applyFont="1" applyFill="1" applyBorder="1"/>
    <xf numFmtId="0" fontId="33" fillId="0" borderId="3" xfId="0" applyFont="1" applyBorder="1" applyAlignment="1">
      <alignment horizontal="left" vertical="center" wrapText="1"/>
    </xf>
    <xf numFmtId="0" fontId="33" fillId="0" borderId="3" xfId="0" applyFont="1" applyBorder="1" applyAlignment="1">
      <alignment horizontal="center" vertical="center" wrapText="1"/>
    </xf>
    <xf numFmtId="0" fontId="3" fillId="18" borderId="0" xfId="0" applyNumberFormat="1" applyFont="1" applyFill="1"/>
    <xf numFmtId="0" fontId="3" fillId="81" borderId="0" xfId="0" applyNumberFormat="1" applyFont="1" applyFill="1"/>
    <xf numFmtId="0" fontId="3" fillId="82" borderId="0" xfId="0" applyNumberFormat="1" applyFont="1" applyFill="1"/>
    <xf numFmtId="0" fontId="3" fillId="31" borderId="0" xfId="0" applyNumberFormat="1" applyFont="1" applyFill="1"/>
    <xf numFmtId="0" fontId="3" fillId="32" borderId="0" xfId="0" applyNumberFormat="1" applyFont="1" applyFill="1"/>
    <xf numFmtId="0" fontId="3" fillId="21" borderId="0" xfId="0" applyNumberFormat="1" applyFont="1" applyFill="1"/>
    <xf numFmtId="0" fontId="3" fillId="79" borderId="0" xfId="0" applyNumberFormat="1" applyFont="1" applyFill="1"/>
    <xf numFmtId="0" fontId="3" fillId="23" borderId="0" xfId="0" applyNumberFormat="1" applyFont="1" applyFill="1"/>
    <xf numFmtId="0" fontId="3" fillId="80" borderId="0" xfId="0" applyNumberFormat="1" applyFont="1" applyFill="1"/>
    <xf numFmtId="0" fontId="3" fillId="26" borderId="0" xfId="0" applyNumberFormat="1" applyFont="1" applyFill="1"/>
    <xf numFmtId="0" fontId="3" fillId="27" borderId="0" xfId="0" applyNumberFormat="1" applyFont="1" applyFill="1"/>
    <xf numFmtId="0" fontId="3" fillId="14" borderId="0" xfId="0" applyNumberFormat="1" applyFont="1" applyFill="1"/>
    <xf numFmtId="0" fontId="3" fillId="83" borderId="0" xfId="0" applyNumberFormat="1" applyFont="1" applyFill="1"/>
    <xf numFmtId="0" fontId="0" fillId="40" borderId="0" xfId="0" applyFill="1" applyBorder="1"/>
    <xf numFmtId="0" fontId="0" fillId="44" borderId="0" xfId="0" applyFill="1" applyBorder="1"/>
    <xf numFmtId="0" fontId="0" fillId="46" borderId="0" xfId="0" applyFill="1" applyBorder="1"/>
    <xf numFmtId="0" fontId="12" fillId="36" borderId="0" xfId="0" applyFont="1" applyFill="1" applyBorder="1"/>
    <xf numFmtId="14" fontId="12" fillId="36" borderId="0" xfId="0" applyNumberFormat="1" applyFont="1" applyFill="1" applyBorder="1" applyAlignment="1">
      <alignment horizontal="left"/>
    </xf>
    <xf numFmtId="0" fontId="13" fillId="36" borderId="103" xfId="0" applyFont="1" applyFill="1" applyBorder="1"/>
    <xf numFmtId="0" fontId="12" fillId="36" borderId="104" xfId="0" applyFont="1" applyFill="1" applyBorder="1"/>
    <xf numFmtId="0" fontId="11" fillId="36" borderId="104" xfId="0" applyFont="1" applyFill="1" applyBorder="1"/>
    <xf numFmtId="0" fontId="13" fillId="36" borderId="105" xfId="0" applyFont="1" applyFill="1" applyBorder="1"/>
    <xf numFmtId="14" fontId="12" fillId="36" borderId="106" xfId="0" applyNumberFormat="1" applyFont="1" applyFill="1" applyBorder="1" applyAlignment="1">
      <alignment horizontal="left"/>
    </xf>
    <xf numFmtId="0" fontId="11" fillId="36" borderId="107" xfId="0" applyFont="1" applyFill="1" applyBorder="1"/>
    <xf numFmtId="0" fontId="13" fillId="36" borderId="111" xfId="0" applyFont="1" applyFill="1" applyBorder="1"/>
    <xf numFmtId="0" fontId="12" fillId="36" borderId="112" xfId="0" applyFont="1" applyFill="1" applyBorder="1"/>
    <xf numFmtId="0" fontId="11" fillId="36" borderId="112" xfId="0" applyFont="1" applyFill="1" applyBorder="1"/>
    <xf numFmtId="0" fontId="13" fillId="36" borderId="113" xfId="0" applyFont="1" applyFill="1" applyBorder="1"/>
    <xf numFmtId="14" fontId="12" fillId="36" borderId="114" xfId="0" applyNumberFormat="1" applyFont="1" applyFill="1" applyBorder="1" applyAlignment="1">
      <alignment horizontal="left"/>
    </xf>
    <xf numFmtId="0" fontId="11" fillId="36" borderId="115" xfId="0" applyFont="1" applyFill="1" applyBorder="1"/>
    <xf numFmtId="0" fontId="13" fillId="36" borderId="119" xfId="0" applyFont="1" applyFill="1" applyBorder="1"/>
    <xf numFmtId="0" fontId="12" fillId="36" borderId="120" xfId="0" applyFont="1" applyFill="1" applyBorder="1"/>
    <xf numFmtId="0" fontId="11" fillId="36" borderId="120" xfId="0" applyFont="1" applyFill="1" applyBorder="1"/>
    <xf numFmtId="0" fontId="13" fillId="36" borderId="121" xfId="0" applyFont="1" applyFill="1" applyBorder="1"/>
    <xf numFmtId="14" fontId="12" fillId="36" borderId="122" xfId="0" applyNumberFormat="1" applyFont="1" applyFill="1" applyBorder="1" applyAlignment="1">
      <alignment horizontal="left"/>
    </xf>
    <xf numFmtId="0" fontId="11" fillId="36" borderId="123" xfId="0" applyFont="1" applyFill="1" applyBorder="1"/>
    <xf numFmtId="0" fontId="13" fillId="36" borderId="127" xfId="0" applyFont="1" applyFill="1" applyBorder="1"/>
    <xf numFmtId="0" fontId="12" fillId="36" borderId="128" xfId="0" applyFont="1" applyFill="1" applyBorder="1"/>
    <xf numFmtId="0" fontId="11" fillId="36" borderId="128" xfId="0" applyFont="1" applyFill="1" applyBorder="1"/>
    <xf numFmtId="0" fontId="13" fillId="36" borderId="129" xfId="0" applyFont="1" applyFill="1" applyBorder="1"/>
    <xf numFmtId="14" fontId="12" fillId="36" borderId="130" xfId="0" applyNumberFormat="1" applyFont="1" applyFill="1" applyBorder="1" applyAlignment="1">
      <alignment horizontal="left"/>
    </xf>
    <xf numFmtId="0" fontId="11" fillId="36" borderId="131" xfId="0" applyFont="1" applyFill="1" applyBorder="1"/>
    <xf numFmtId="0" fontId="13" fillId="36" borderId="135" xfId="0" applyFont="1" applyFill="1" applyBorder="1"/>
    <xf numFmtId="0" fontId="12" fillId="36" borderId="136" xfId="0" applyFont="1" applyFill="1" applyBorder="1"/>
    <xf numFmtId="0" fontId="11" fillId="36" borderId="136" xfId="0" applyFont="1" applyFill="1" applyBorder="1"/>
    <xf numFmtId="0" fontId="13" fillId="36" borderId="137" xfId="0" applyFont="1" applyFill="1" applyBorder="1"/>
    <xf numFmtId="14" fontId="12" fillId="36" borderId="138" xfId="0" applyNumberFormat="1" applyFont="1" applyFill="1" applyBorder="1" applyAlignment="1">
      <alignment horizontal="left"/>
    </xf>
    <xf numFmtId="0" fontId="11" fillId="36" borderId="139" xfId="0" applyFont="1" applyFill="1" applyBorder="1"/>
    <xf numFmtId="0" fontId="13" fillId="36" borderId="143" xfId="0" applyFont="1" applyFill="1" applyBorder="1"/>
    <xf numFmtId="0" fontId="12" fillId="36" borderId="144" xfId="0" applyFont="1" applyFill="1" applyBorder="1"/>
    <xf numFmtId="0" fontId="11" fillId="36" borderId="144" xfId="0" applyFont="1" applyFill="1" applyBorder="1"/>
    <xf numFmtId="0" fontId="13" fillId="36" borderId="145" xfId="0" applyFont="1" applyFill="1" applyBorder="1"/>
    <xf numFmtId="14" fontId="12" fillId="36" borderId="146" xfId="0" applyNumberFormat="1" applyFont="1" applyFill="1" applyBorder="1" applyAlignment="1">
      <alignment horizontal="left"/>
    </xf>
    <xf numFmtId="0" fontId="11" fillId="36" borderId="147" xfId="0" applyFont="1" applyFill="1" applyBorder="1"/>
    <xf numFmtId="0" fontId="13" fillId="36" borderId="151" xfId="0" applyFont="1" applyFill="1" applyBorder="1"/>
    <xf numFmtId="0" fontId="12" fillId="36" borderId="152" xfId="0" applyFont="1" applyFill="1" applyBorder="1"/>
    <xf numFmtId="0" fontId="11" fillId="36" borderId="152" xfId="0" applyFont="1" applyFill="1" applyBorder="1"/>
    <xf numFmtId="0" fontId="13" fillId="36" borderId="153" xfId="0" applyFont="1" applyFill="1" applyBorder="1"/>
    <xf numFmtId="14" fontId="12" fillId="36" borderId="154" xfId="0" applyNumberFormat="1" applyFont="1" applyFill="1" applyBorder="1" applyAlignment="1">
      <alignment horizontal="left"/>
    </xf>
    <xf numFmtId="0" fontId="11" fillId="36" borderId="155" xfId="0" applyFont="1" applyFill="1" applyBorder="1"/>
    <xf numFmtId="0" fontId="13" fillId="36" borderId="159" xfId="0" applyFont="1" applyFill="1" applyBorder="1"/>
    <xf numFmtId="0" fontId="12" fillId="36" borderId="160" xfId="0" applyFont="1" applyFill="1" applyBorder="1"/>
    <xf numFmtId="0" fontId="11" fillId="36" borderId="160" xfId="0" applyFont="1" applyFill="1" applyBorder="1"/>
    <xf numFmtId="0" fontId="13" fillId="36" borderId="161" xfId="0" applyFont="1" applyFill="1" applyBorder="1"/>
    <xf numFmtId="14" fontId="12" fillId="36" borderId="162" xfId="0" applyNumberFormat="1" applyFont="1" applyFill="1" applyBorder="1" applyAlignment="1">
      <alignment horizontal="left"/>
    </xf>
    <xf numFmtId="0" fontId="11" fillId="36" borderId="163" xfId="0" applyFont="1" applyFill="1" applyBorder="1"/>
    <xf numFmtId="0" fontId="13" fillId="36" borderId="167" xfId="0" applyFont="1" applyFill="1" applyBorder="1"/>
    <xf numFmtId="0" fontId="12" fillId="36" borderId="168" xfId="0" applyFont="1" applyFill="1" applyBorder="1"/>
    <xf numFmtId="0" fontId="11" fillId="36" borderId="168" xfId="0" applyFont="1" applyFill="1" applyBorder="1"/>
    <xf numFmtId="0" fontId="13" fillId="36" borderId="169" xfId="0" applyFont="1" applyFill="1" applyBorder="1"/>
    <xf numFmtId="14" fontId="12" fillId="36" borderId="170" xfId="0" applyNumberFormat="1" applyFont="1" applyFill="1" applyBorder="1" applyAlignment="1">
      <alignment horizontal="left"/>
    </xf>
    <xf numFmtId="0" fontId="11" fillId="36" borderId="171" xfId="0" applyFont="1" applyFill="1" applyBorder="1"/>
    <xf numFmtId="0" fontId="13" fillId="36" borderId="175" xfId="0" applyFont="1" applyFill="1" applyBorder="1"/>
    <xf numFmtId="0" fontId="12" fillId="36" borderId="176" xfId="0" applyFont="1" applyFill="1" applyBorder="1"/>
    <xf numFmtId="0" fontId="11" fillId="36" borderId="176" xfId="0" applyFont="1" applyFill="1" applyBorder="1"/>
    <xf numFmtId="0" fontId="13" fillId="36" borderId="177" xfId="0" applyFont="1" applyFill="1" applyBorder="1"/>
    <xf numFmtId="14" fontId="12" fillId="36" borderId="178" xfId="0" applyNumberFormat="1" applyFont="1" applyFill="1" applyBorder="1" applyAlignment="1">
      <alignment horizontal="left"/>
    </xf>
    <xf numFmtId="0" fontId="11" fillId="36" borderId="179" xfId="0" applyFont="1" applyFill="1" applyBorder="1"/>
    <xf numFmtId="0" fontId="13" fillId="36" borderId="183" xfId="0" applyFont="1" applyFill="1" applyBorder="1"/>
    <xf numFmtId="0" fontId="12" fillId="36" borderId="184" xfId="0" applyFont="1" applyFill="1" applyBorder="1"/>
    <xf numFmtId="0" fontId="11" fillId="36" borderId="184" xfId="0" applyFont="1" applyFill="1" applyBorder="1"/>
    <xf numFmtId="0" fontId="13" fillId="36" borderId="185" xfId="0" applyFont="1" applyFill="1" applyBorder="1"/>
    <xf numFmtId="14" fontId="12" fillId="36" borderId="186" xfId="0" applyNumberFormat="1" applyFont="1" applyFill="1" applyBorder="1" applyAlignment="1">
      <alignment horizontal="left"/>
    </xf>
    <xf numFmtId="0" fontId="11" fillId="36" borderId="187" xfId="0" applyFont="1" applyFill="1" applyBorder="1"/>
    <xf numFmtId="0" fontId="13" fillId="36" borderId="191" xfId="0" applyFont="1" applyFill="1" applyBorder="1"/>
    <xf numFmtId="0" fontId="12" fillId="36" borderId="192" xfId="0" applyFont="1" applyFill="1" applyBorder="1"/>
    <xf numFmtId="0" fontId="11" fillId="36" borderId="192" xfId="0" applyFont="1" applyFill="1" applyBorder="1"/>
    <xf numFmtId="0" fontId="13" fillId="36" borderId="193" xfId="0" applyFont="1" applyFill="1" applyBorder="1"/>
    <xf numFmtId="14" fontId="12" fillId="36" borderId="194" xfId="0" applyNumberFormat="1" applyFont="1" applyFill="1" applyBorder="1" applyAlignment="1">
      <alignment horizontal="left"/>
    </xf>
    <xf numFmtId="0" fontId="11" fillId="36" borderId="195" xfId="0" applyFont="1" applyFill="1" applyBorder="1"/>
    <xf numFmtId="0" fontId="13" fillId="36" borderId="199" xfId="0" applyFont="1" applyFill="1" applyBorder="1"/>
    <xf numFmtId="0" fontId="12" fillId="36" borderId="200" xfId="0" applyFont="1" applyFill="1" applyBorder="1"/>
    <xf numFmtId="0" fontId="11" fillId="36" borderId="200" xfId="0" applyFont="1" applyFill="1" applyBorder="1"/>
    <xf numFmtId="0" fontId="13" fillId="36" borderId="201" xfId="0" applyFont="1" applyFill="1" applyBorder="1"/>
    <xf numFmtId="14" fontId="12" fillId="36" borderId="202" xfId="0" applyNumberFormat="1" applyFont="1" applyFill="1" applyBorder="1" applyAlignment="1">
      <alignment horizontal="left"/>
    </xf>
    <xf numFmtId="0" fontId="11" fillId="36" borderId="203" xfId="0" applyFont="1" applyFill="1" applyBorder="1"/>
    <xf numFmtId="0" fontId="13" fillId="36" borderId="207" xfId="0" applyFont="1" applyFill="1" applyBorder="1"/>
    <xf numFmtId="0" fontId="12" fillId="36" borderId="208" xfId="0" applyFont="1" applyFill="1" applyBorder="1"/>
    <xf numFmtId="0" fontId="11" fillId="36" borderId="208" xfId="0" applyFont="1" applyFill="1" applyBorder="1"/>
    <xf numFmtId="0" fontId="13" fillId="36" borderId="209" xfId="0" applyFont="1" applyFill="1" applyBorder="1"/>
    <xf numFmtId="14" fontId="12" fillId="36" borderId="210" xfId="0" applyNumberFormat="1" applyFont="1" applyFill="1" applyBorder="1" applyAlignment="1">
      <alignment horizontal="left"/>
    </xf>
    <xf numFmtId="0" fontId="11" fillId="36" borderId="211" xfId="0" applyFont="1" applyFill="1" applyBorder="1"/>
    <xf numFmtId="0" fontId="13" fillId="36" borderId="215" xfId="0" applyFont="1" applyFill="1" applyBorder="1"/>
    <xf numFmtId="0" fontId="12" fillId="36" borderId="216" xfId="0" applyFont="1" applyFill="1" applyBorder="1"/>
    <xf numFmtId="0" fontId="11" fillId="36" borderId="216" xfId="0" applyFont="1" applyFill="1" applyBorder="1"/>
    <xf numFmtId="0" fontId="13" fillId="36" borderId="217" xfId="0" applyFont="1" applyFill="1" applyBorder="1"/>
    <xf numFmtId="14" fontId="12" fillId="36" borderId="218" xfId="0" applyNumberFormat="1" applyFont="1" applyFill="1" applyBorder="1" applyAlignment="1">
      <alignment horizontal="left"/>
    </xf>
    <xf numFmtId="0" fontId="11" fillId="36" borderId="219" xfId="0" applyFont="1" applyFill="1" applyBorder="1"/>
    <xf numFmtId="0" fontId="13" fillId="36" borderId="223" xfId="0" applyFont="1" applyFill="1" applyBorder="1"/>
    <xf numFmtId="0" fontId="12" fillId="36" borderId="224" xfId="0" applyFont="1" applyFill="1" applyBorder="1"/>
    <xf numFmtId="0" fontId="11" fillId="36" borderId="224" xfId="0" applyFont="1" applyFill="1" applyBorder="1"/>
    <xf numFmtId="0" fontId="13" fillId="36" borderId="225" xfId="0" applyFont="1" applyFill="1" applyBorder="1"/>
    <xf numFmtId="14" fontId="12" fillId="36" borderId="226" xfId="0" applyNumberFormat="1" applyFont="1" applyFill="1" applyBorder="1" applyAlignment="1">
      <alignment horizontal="left"/>
    </xf>
    <xf numFmtId="0" fontId="11" fillId="36" borderId="227" xfId="0" applyFont="1" applyFill="1" applyBorder="1"/>
    <xf numFmtId="0" fontId="13" fillId="36" borderId="231" xfId="0" applyFont="1" applyFill="1" applyBorder="1"/>
    <xf numFmtId="0" fontId="12" fillId="36" borderId="232" xfId="0" applyFont="1" applyFill="1" applyBorder="1"/>
    <xf numFmtId="0" fontId="11" fillId="36" borderId="232" xfId="0" applyFont="1" applyFill="1" applyBorder="1"/>
    <xf numFmtId="0" fontId="13" fillId="36" borderId="233" xfId="0" applyFont="1" applyFill="1" applyBorder="1"/>
    <xf numFmtId="14" fontId="12" fillId="36" borderId="234" xfId="0" applyNumberFormat="1" applyFont="1" applyFill="1" applyBorder="1" applyAlignment="1">
      <alignment horizontal="left"/>
    </xf>
    <xf numFmtId="0" fontId="11" fillId="36" borderId="235" xfId="0" applyFont="1" applyFill="1" applyBorder="1"/>
    <xf numFmtId="0" fontId="13" fillId="36" borderId="239" xfId="0" applyFont="1" applyFill="1" applyBorder="1"/>
    <xf numFmtId="0" fontId="12" fillId="36" borderId="240" xfId="0" applyFont="1" applyFill="1" applyBorder="1"/>
    <xf numFmtId="0" fontId="11" fillId="36" borderId="240" xfId="0" applyFont="1" applyFill="1" applyBorder="1"/>
    <xf numFmtId="0" fontId="13" fillId="36" borderId="241" xfId="0" applyFont="1" applyFill="1" applyBorder="1"/>
    <xf numFmtId="14" fontId="12" fillId="36" borderId="242" xfId="0" applyNumberFormat="1" applyFont="1" applyFill="1" applyBorder="1" applyAlignment="1">
      <alignment horizontal="left"/>
    </xf>
    <xf numFmtId="0" fontId="11" fillId="36" borderId="243" xfId="0" applyFont="1" applyFill="1" applyBorder="1"/>
    <xf numFmtId="0" fontId="13" fillId="36" borderId="247" xfId="0" applyFont="1" applyFill="1" applyBorder="1"/>
    <xf numFmtId="0" fontId="12" fillId="36" borderId="248" xfId="0" applyFont="1" applyFill="1" applyBorder="1"/>
    <xf numFmtId="0" fontId="11" fillId="36" borderId="248" xfId="0" applyFont="1" applyFill="1" applyBorder="1"/>
    <xf numFmtId="0" fontId="13" fillId="36" borderId="249" xfId="0" applyFont="1" applyFill="1" applyBorder="1"/>
    <xf numFmtId="14" fontId="12" fillId="36" borderId="250" xfId="0" applyNumberFormat="1" applyFont="1" applyFill="1" applyBorder="1" applyAlignment="1">
      <alignment horizontal="left"/>
    </xf>
    <xf numFmtId="0" fontId="11" fillId="36" borderId="251" xfId="0" applyFont="1" applyFill="1" applyBorder="1"/>
    <xf numFmtId="0" fontId="13" fillId="36" borderId="255" xfId="0" applyFont="1" applyFill="1" applyBorder="1"/>
    <xf numFmtId="0" fontId="12" fillId="36" borderId="256" xfId="0" applyFont="1" applyFill="1" applyBorder="1"/>
    <xf numFmtId="0" fontId="11" fillId="36" borderId="256" xfId="0" applyFont="1" applyFill="1" applyBorder="1"/>
    <xf numFmtId="0" fontId="13" fillId="36" borderId="257" xfId="0" applyFont="1" applyFill="1" applyBorder="1"/>
    <xf numFmtId="14" fontId="12" fillId="36" borderId="258" xfId="0" applyNumberFormat="1" applyFont="1" applyFill="1" applyBorder="1" applyAlignment="1">
      <alignment horizontal="left"/>
    </xf>
    <xf numFmtId="0" fontId="11" fillId="36" borderId="259" xfId="0" applyFont="1" applyFill="1" applyBorder="1"/>
    <xf numFmtId="0" fontId="13" fillId="36" borderId="263" xfId="0" applyFont="1" applyFill="1" applyBorder="1"/>
    <xf numFmtId="0" fontId="12" fillId="36" borderId="264" xfId="0" applyFont="1" applyFill="1" applyBorder="1"/>
    <xf numFmtId="0" fontId="11" fillId="36" borderId="264" xfId="0" applyFont="1" applyFill="1" applyBorder="1"/>
    <xf numFmtId="0" fontId="13" fillId="36" borderId="265" xfId="0" applyFont="1" applyFill="1" applyBorder="1"/>
    <xf numFmtId="14" fontId="12" fillId="36" borderId="266" xfId="0" applyNumberFormat="1" applyFont="1" applyFill="1" applyBorder="1" applyAlignment="1">
      <alignment horizontal="left"/>
    </xf>
    <xf numFmtId="0" fontId="11" fillId="36" borderId="267" xfId="0" applyFont="1" applyFill="1" applyBorder="1"/>
    <xf numFmtId="0" fontId="33" fillId="0" borderId="3" xfId="0" applyFont="1" applyBorder="1" applyAlignment="1">
      <alignment horizontal="center" vertical="center"/>
    </xf>
    <xf numFmtId="14" fontId="0" fillId="35" borderId="6" xfId="0" applyNumberFormat="1" applyFont="1" applyFill="1" applyBorder="1"/>
    <xf numFmtId="0" fontId="33" fillId="4" borderId="3" xfId="0" applyFont="1" applyFill="1" applyBorder="1" applyAlignment="1">
      <alignment horizontal="left" vertical="center" wrapText="1"/>
    </xf>
    <xf numFmtId="0" fontId="33" fillId="4" borderId="3" xfId="0" applyFont="1" applyFill="1" applyBorder="1" applyAlignment="1">
      <alignment horizontal="center" vertical="center" wrapText="1"/>
    </xf>
    <xf numFmtId="0" fontId="5" fillId="3" borderId="269" xfId="0" applyFont="1" applyFill="1" applyBorder="1" applyAlignment="1">
      <alignment horizontal="left" vertical="center"/>
    </xf>
    <xf numFmtId="0" fontId="5" fillId="3" borderId="269" xfId="0" applyFont="1" applyFill="1" applyBorder="1" applyAlignment="1">
      <alignment horizontal="left" vertical="center" wrapText="1"/>
    </xf>
    <xf numFmtId="0" fontId="5" fillId="3" borderId="269" xfId="0" applyFont="1" applyFill="1" applyBorder="1" applyAlignment="1">
      <alignment horizontal="center" vertical="center" wrapText="1"/>
    </xf>
    <xf numFmtId="0" fontId="5" fillId="3" borderId="270" xfId="0" applyFont="1" applyFill="1" applyBorder="1" applyAlignment="1">
      <alignment horizontal="left" vertical="center" wrapText="1"/>
    </xf>
    <xf numFmtId="0" fontId="5" fillId="3" borderId="271" xfId="0" applyFont="1" applyFill="1" applyBorder="1" applyAlignment="1">
      <alignment horizontal="center" vertical="center" wrapText="1"/>
    </xf>
    <xf numFmtId="0" fontId="3" fillId="34" borderId="272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horizontal="center" vertical="center"/>
    </xf>
    <xf numFmtId="0" fontId="33" fillId="4" borderId="3" xfId="0" applyFont="1" applyFill="1" applyBorder="1" applyAlignment="1">
      <alignment vertical="center" wrapText="1"/>
    </xf>
    <xf numFmtId="1" fontId="33" fillId="4" borderId="3" xfId="0" applyNumberFormat="1" applyFont="1" applyFill="1" applyBorder="1" applyAlignment="1">
      <alignment horizontal="center" vertical="center" wrapText="1"/>
    </xf>
    <xf numFmtId="0" fontId="33" fillId="4" borderId="273" xfId="0" applyFont="1" applyFill="1" applyBorder="1" applyAlignment="1">
      <alignment vertical="center" wrapText="1"/>
    </xf>
    <xf numFmtId="0" fontId="33" fillId="4" borderId="98" xfId="0" applyFont="1" applyFill="1" applyBorder="1" applyAlignment="1">
      <alignment horizontal="center" vertical="center" wrapText="1"/>
    </xf>
    <xf numFmtId="0" fontId="3" fillId="7" borderId="272" xfId="0" applyFont="1" applyFill="1" applyBorder="1" applyAlignment="1">
      <alignment horizontal="center" vertical="center"/>
    </xf>
    <xf numFmtId="0" fontId="33" fillId="0" borderId="3" xfId="0" applyFont="1" applyBorder="1" applyAlignment="1">
      <alignment vertical="center" wrapText="1"/>
    </xf>
    <xf numFmtId="1" fontId="33" fillId="0" borderId="3" xfId="0" applyNumberFormat="1" applyFont="1" applyBorder="1" applyAlignment="1">
      <alignment horizontal="center" vertical="center" wrapText="1"/>
    </xf>
    <xf numFmtId="0" fontId="33" fillId="0" borderId="273" xfId="0" applyFont="1" applyBorder="1" applyAlignment="1">
      <alignment vertical="center" wrapText="1"/>
    </xf>
    <xf numFmtId="0" fontId="3" fillId="8" borderId="272" xfId="0" applyFont="1" applyFill="1" applyBorder="1" applyAlignment="1">
      <alignment horizontal="center" vertical="center"/>
    </xf>
    <xf numFmtId="0" fontId="3" fillId="29" borderId="272" xfId="0" applyFont="1" applyFill="1" applyBorder="1" applyAlignment="1">
      <alignment horizontal="center" vertical="center"/>
    </xf>
    <xf numFmtId="0" fontId="3" fillId="72" borderId="272" xfId="0" applyFont="1" applyFill="1" applyBorder="1" applyAlignment="1">
      <alignment horizontal="center" vertical="center"/>
    </xf>
    <xf numFmtId="0" fontId="3" fillId="24" borderId="272" xfId="0" applyFont="1" applyFill="1" applyBorder="1" applyAlignment="1">
      <alignment horizontal="center" vertical="center"/>
    </xf>
    <xf numFmtId="0" fontId="3" fillId="62" borderId="272" xfId="0" applyFont="1" applyFill="1" applyBorder="1" applyAlignment="1">
      <alignment horizontal="center" vertical="center"/>
    </xf>
    <xf numFmtId="0" fontId="3" fillId="10" borderId="272" xfId="0" applyFont="1" applyFill="1" applyBorder="1" applyAlignment="1">
      <alignment horizontal="center" vertical="center"/>
    </xf>
    <xf numFmtId="0" fontId="3" fillId="13" borderId="272" xfId="0" applyFont="1" applyFill="1" applyBorder="1" applyAlignment="1">
      <alignment horizontal="center" vertical="center"/>
    </xf>
    <xf numFmtId="0" fontId="3" fillId="67" borderId="272" xfId="0" applyFont="1" applyFill="1" applyBorder="1" applyAlignment="1">
      <alignment horizontal="center" vertical="center"/>
    </xf>
    <xf numFmtId="0" fontId="3" fillId="14" borderId="272" xfId="0" applyFont="1" applyFill="1" applyBorder="1" applyAlignment="1">
      <alignment horizontal="center" vertical="center"/>
    </xf>
    <xf numFmtId="0" fontId="3" fillId="15" borderId="272" xfId="0" applyFont="1" applyFill="1" applyBorder="1" applyAlignment="1">
      <alignment horizontal="center" vertical="center"/>
    </xf>
    <xf numFmtId="0" fontId="3" fillId="69" borderId="272" xfId="0" applyFont="1" applyFill="1" applyBorder="1" applyAlignment="1">
      <alignment horizontal="center" vertical="center"/>
    </xf>
    <xf numFmtId="0" fontId="3" fillId="17" borderId="272" xfId="0" applyFont="1" applyFill="1" applyBorder="1" applyAlignment="1">
      <alignment horizontal="center" vertical="center"/>
    </xf>
    <xf numFmtId="0" fontId="3" fillId="73" borderId="272" xfId="0" applyFont="1" applyFill="1" applyBorder="1" applyAlignment="1">
      <alignment horizontal="center" vertical="center"/>
    </xf>
    <xf numFmtId="0" fontId="3" fillId="68" borderId="272" xfId="0" applyFont="1" applyFill="1" applyBorder="1" applyAlignment="1">
      <alignment horizontal="center" vertical="center"/>
    </xf>
    <xf numFmtId="0" fontId="3" fillId="18" borderId="272" xfId="0" applyFont="1" applyFill="1" applyBorder="1" applyAlignment="1">
      <alignment horizontal="center" vertical="center"/>
    </xf>
    <xf numFmtId="0" fontId="3" fillId="21" borderId="272" xfId="0" applyFont="1" applyFill="1" applyBorder="1" applyAlignment="1">
      <alignment horizontal="center" vertical="center"/>
    </xf>
    <xf numFmtId="0" fontId="3" fillId="79" borderId="272" xfId="0" applyFont="1" applyFill="1" applyBorder="1" applyAlignment="1">
      <alignment horizontal="center" vertical="center"/>
    </xf>
    <xf numFmtId="0" fontId="3" fillId="23" borderId="272" xfId="0" applyFont="1" applyFill="1" applyBorder="1" applyAlignment="1">
      <alignment horizontal="center" vertical="center"/>
    </xf>
    <xf numFmtId="0" fontId="3" fillId="80" borderId="272" xfId="0" applyFont="1" applyFill="1" applyBorder="1" applyAlignment="1">
      <alignment horizontal="center" vertical="center"/>
    </xf>
    <xf numFmtId="0" fontId="3" fillId="26" borderId="272" xfId="0" applyFont="1" applyFill="1" applyBorder="1" applyAlignment="1">
      <alignment horizontal="center" vertical="center"/>
    </xf>
    <xf numFmtId="0" fontId="3" fillId="27" borderId="272" xfId="0" applyFont="1" applyFill="1" applyBorder="1" applyAlignment="1">
      <alignment horizontal="center" vertical="center"/>
    </xf>
    <xf numFmtId="0" fontId="3" fillId="81" borderId="272" xfId="0" applyFont="1" applyFill="1" applyBorder="1" applyAlignment="1">
      <alignment horizontal="center" vertical="center"/>
    </xf>
    <xf numFmtId="0" fontId="37" fillId="0" borderId="3" xfId="0" applyFont="1" applyBorder="1" applyAlignment="1">
      <alignment horizontal="left" vertical="center" wrapText="1"/>
    </xf>
    <xf numFmtId="0" fontId="3" fillId="82" borderId="272" xfId="0" applyFont="1" applyFill="1" applyBorder="1" applyAlignment="1">
      <alignment horizontal="center" vertical="center"/>
    </xf>
    <xf numFmtId="0" fontId="33" fillId="4" borderId="99" xfId="0" applyFont="1" applyFill="1" applyBorder="1" applyAlignment="1">
      <alignment horizontal="left" vertical="center" wrapText="1"/>
    </xf>
    <xf numFmtId="0" fontId="33" fillId="4" borderId="99" xfId="0" applyFont="1" applyFill="1" applyBorder="1" applyAlignment="1">
      <alignment vertical="center" wrapText="1"/>
    </xf>
    <xf numFmtId="1" fontId="33" fillId="4" borderId="99" xfId="0" applyNumberFormat="1" applyFont="1" applyFill="1" applyBorder="1" applyAlignment="1">
      <alignment horizontal="center" vertical="center" wrapText="1"/>
    </xf>
    <xf numFmtId="0" fontId="33" fillId="4" borderId="99" xfId="0" applyFont="1" applyFill="1" applyBorder="1" applyAlignment="1">
      <alignment horizontal="center" vertical="center" wrapText="1"/>
    </xf>
    <xf numFmtId="0" fontId="33" fillId="4" borderId="268" xfId="0" applyFont="1" applyFill="1" applyBorder="1" applyAlignment="1">
      <alignment vertical="center" wrapText="1"/>
    </xf>
    <xf numFmtId="0" fontId="3" fillId="31" borderId="272" xfId="0" applyFont="1" applyFill="1" applyBorder="1" applyAlignment="1">
      <alignment horizontal="center" vertical="center"/>
    </xf>
    <xf numFmtId="0" fontId="3" fillId="32" borderId="272" xfId="0" applyFont="1" applyFill="1" applyBorder="1" applyAlignment="1">
      <alignment horizontal="center" vertical="center"/>
    </xf>
    <xf numFmtId="0" fontId="3" fillId="83" borderId="272" xfId="0" applyFont="1" applyFill="1" applyBorder="1" applyAlignment="1">
      <alignment horizontal="center" vertical="center"/>
    </xf>
    <xf numFmtId="0" fontId="3" fillId="34" borderId="0" xfId="0" applyFont="1" applyFill="1"/>
    <xf numFmtId="0" fontId="3" fillId="34" borderId="0" xfId="0" applyFont="1" applyFill="1" applyBorder="1"/>
    <xf numFmtId="0" fontId="33" fillId="4" borderId="99" xfId="0" applyFont="1" applyFill="1" applyBorder="1" applyAlignment="1">
      <alignment horizontal="center" vertical="center"/>
    </xf>
    <xf numFmtId="0" fontId="33" fillId="4" borderId="268" xfId="0" applyFont="1" applyFill="1" applyBorder="1" applyAlignment="1">
      <alignment horizontal="left" vertical="center" wrapText="1"/>
    </xf>
    <xf numFmtId="0" fontId="33" fillId="4" borderId="274" xfId="0" applyFont="1" applyFill="1" applyBorder="1" applyAlignment="1">
      <alignment horizontal="left" vertical="center" wrapText="1"/>
    </xf>
    <xf numFmtId="0" fontId="0" fillId="0" borderId="0" xfId="0" applyBorder="1"/>
    <xf numFmtId="0" fontId="33" fillId="4" borderId="99" xfId="0" applyNumberFormat="1" applyFont="1" applyFill="1" applyBorder="1" applyAlignment="1">
      <alignment horizontal="center" vertical="center" wrapText="1"/>
    </xf>
    <xf numFmtId="0" fontId="3" fillId="7" borderId="0" xfId="0" applyFont="1" applyFill="1" applyBorder="1"/>
    <xf numFmtId="0" fontId="3" fillId="8" borderId="0" xfId="0" applyFont="1" applyFill="1" applyBorder="1"/>
    <xf numFmtId="0" fontId="3" fillId="29" borderId="0" xfId="0" applyFont="1" applyFill="1" applyBorder="1"/>
    <xf numFmtId="0" fontId="3" fillId="72" borderId="0" xfId="0" applyFont="1" applyFill="1" applyBorder="1"/>
    <xf numFmtId="0" fontId="3" fillId="24" borderId="0" xfId="0" applyFont="1" applyFill="1" applyBorder="1"/>
    <xf numFmtId="0" fontId="3" fillId="62" borderId="0" xfId="0" applyFont="1" applyFill="1" applyBorder="1"/>
    <xf numFmtId="0" fontId="3" fillId="10" borderId="0" xfId="0" applyFont="1" applyFill="1" applyBorder="1"/>
    <xf numFmtId="0" fontId="3" fillId="13" borderId="0" xfId="0" applyFont="1" applyFill="1" applyBorder="1"/>
    <xf numFmtId="0" fontId="3" fillId="67" borderId="0" xfId="0" applyFont="1" applyFill="1" applyBorder="1"/>
    <xf numFmtId="0" fontId="3" fillId="14" borderId="0" xfId="0" applyFont="1" applyFill="1" applyBorder="1"/>
    <xf numFmtId="0" fontId="3" fillId="15" borderId="0" xfId="0" applyFont="1" applyFill="1" applyBorder="1"/>
    <xf numFmtId="0" fontId="3" fillId="69" borderId="0" xfId="0" applyFont="1" applyFill="1" applyBorder="1"/>
    <xf numFmtId="0" fontId="3" fillId="17" borderId="0" xfId="0" applyFont="1" applyFill="1" applyBorder="1"/>
    <xf numFmtId="0" fontId="3" fillId="73" borderId="0" xfId="0" applyFont="1" applyFill="1" applyBorder="1"/>
    <xf numFmtId="0" fontId="3" fillId="68" borderId="0" xfId="0" applyFont="1" applyFill="1" applyBorder="1"/>
    <xf numFmtId="0" fontId="3" fillId="18" borderId="0" xfId="0" applyFont="1" applyFill="1" applyBorder="1"/>
    <xf numFmtId="0" fontId="3" fillId="21" borderId="0" xfId="0" applyFont="1" applyFill="1" applyBorder="1"/>
    <xf numFmtId="0" fontId="3" fillId="79" borderId="0" xfId="0" applyFont="1" applyFill="1" applyBorder="1"/>
    <xf numFmtId="0" fontId="3" fillId="23" borderId="0" xfId="0" applyFont="1" applyFill="1" applyBorder="1"/>
    <xf numFmtId="0" fontId="3" fillId="80" borderId="0" xfId="0" applyFont="1" applyFill="1" applyBorder="1"/>
    <xf numFmtId="0" fontId="3" fillId="26" borderId="0" xfId="0" applyFont="1" applyFill="1" applyBorder="1"/>
    <xf numFmtId="0" fontId="3" fillId="27" borderId="0" xfId="0" applyFont="1" applyFill="1" applyBorder="1"/>
    <xf numFmtId="0" fontId="3" fillId="81" borderId="0" xfId="0" applyFont="1" applyFill="1" applyBorder="1"/>
    <xf numFmtId="0" fontId="3" fillId="82" borderId="0" xfId="0" applyFont="1" applyFill="1" applyBorder="1"/>
    <xf numFmtId="0" fontId="3" fillId="31" borderId="0" xfId="0" applyFont="1" applyFill="1" applyBorder="1"/>
    <xf numFmtId="0" fontId="3" fillId="32" borderId="0" xfId="0" applyFont="1" applyFill="1" applyBorder="1"/>
    <xf numFmtId="0" fontId="0" fillId="105" borderId="0" xfId="0" applyFill="1"/>
    <xf numFmtId="0" fontId="0" fillId="107" borderId="0" xfId="0" applyFill="1"/>
    <xf numFmtId="0" fontId="0" fillId="35" borderId="0" xfId="0" applyFill="1"/>
    <xf numFmtId="0" fontId="0" fillId="4" borderId="275" xfId="0" applyFill="1" applyBorder="1"/>
    <xf numFmtId="0" fontId="0" fillId="0" borderId="275" xfId="0" applyBorder="1"/>
    <xf numFmtId="0" fontId="1" fillId="106" borderId="0" xfId="0" applyFont="1" applyFill="1" applyAlignment="1">
      <alignment horizontal="center"/>
    </xf>
    <xf numFmtId="15" fontId="4" fillId="110" borderId="1" xfId="0" applyNumberFormat="1" applyFont="1" applyFill="1" applyBorder="1" applyAlignment="1">
      <alignment horizontal="center" vertical="center"/>
    </xf>
    <xf numFmtId="0" fontId="4" fillId="110" borderId="1" xfId="0" applyFont="1" applyFill="1" applyBorder="1" applyAlignment="1">
      <alignment horizontal="center" vertical="center"/>
    </xf>
    <xf numFmtId="15" fontId="4" fillId="111" borderId="1" xfId="0" applyNumberFormat="1" applyFont="1" applyFill="1" applyBorder="1" applyAlignment="1">
      <alignment horizontal="center" vertical="center"/>
    </xf>
    <xf numFmtId="0" fontId="4" fillId="111" borderId="1" xfId="0" applyFont="1" applyFill="1" applyBorder="1" applyAlignment="1">
      <alignment horizontal="center" vertical="center"/>
    </xf>
    <xf numFmtId="15" fontId="4" fillId="66" borderId="1" xfId="0" applyNumberFormat="1" applyFont="1" applyFill="1" applyBorder="1" applyAlignment="1">
      <alignment horizontal="center" vertical="center"/>
    </xf>
    <xf numFmtId="0" fontId="39" fillId="34" borderId="1" xfId="0" applyFont="1" applyFill="1" applyBorder="1" applyAlignment="1">
      <alignment horizontal="center" vertical="center"/>
    </xf>
    <xf numFmtId="0" fontId="39" fillId="7" borderId="1" xfId="0" applyFont="1" applyFill="1" applyBorder="1" applyAlignment="1">
      <alignment horizontal="center" vertical="center"/>
    </xf>
    <xf numFmtId="0" fontId="39" fillId="8" borderId="1" xfId="0" applyFont="1" applyFill="1" applyBorder="1" applyAlignment="1">
      <alignment horizontal="center" vertical="center"/>
    </xf>
    <xf numFmtId="0" fontId="39" fillId="29" borderId="1" xfId="0" applyFont="1" applyFill="1" applyBorder="1" applyAlignment="1">
      <alignment horizontal="center" vertical="center"/>
    </xf>
    <xf numFmtId="0" fontId="39" fillId="72" borderId="1" xfId="0" applyFont="1" applyFill="1" applyBorder="1" applyAlignment="1">
      <alignment horizontal="center" vertical="center"/>
    </xf>
    <xf numFmtId="0" fontId="39" fillId="24" borderId="1" xfId="0" applyFont="1" applyFill="1" applyBorder="1" applyAlignment="1">
      <alignment horizontal="center" vertical="center"/>
    </xf>
    <xf numFmtId="14" fontId="3" fillId="112" borderId="5" xfId="0" applyNumberFormat="1" applyFont="1" applyFill="1" applyBorder="1"/>
    <xf numFmtId="14" fontId="3" fillId="113" borderId="5" xfId="0" applyNumberFormat="1" applyFont="1" applyFill="1" applyBorder="1"/>
    <xf numFmtId="14" fontId="3" fillId="114" borderId="5" xfId="0" applyNumberFormat="1" applyFont="1" applyFill="1" applyBorder="1"/>
    <xf numFmtId="14" fontId="3" fillId="115" borderId="5" xfId="0" applyNumberFormat="1" applyFont="1" applyFill="1" applyBorder="1"/>
    <xf numFmtId="14" fontId="3" fillId="116" borderId="5" xfId="0" applyNumberFormat="1" applyFont="1" applyFill="1" applyBorder="1"/>
    <xf numFmtId="14" fontId="3" fillId="117" borderId="5" xfId="0" applyNumberFormat="1" applyFont="1" applyFill="1" applyBorder="1"/>
    <xf numFmtId="14" fontId="3" fillId="118" borderId="5" xfId="0" applyNumberFormat="1" applyFont="1" applyFill="1" applyBorder="1"/>
    <xf numFmtId="14" fontId="3" fillId="119" borderId="5" xfId="0" applyNumberFormat="1" applyFont="1" applyFill="1" applyBorder="1"/>
    <xf numFmtId="14" fontId="3" fillId="120" borderId="5" xfId="0" applyNumberFormat="1" applyFont="1" applyFill="1" applyBorder="1"/>
    <xf numFmtId="14" fontId="3" fillId="121" borderId="5" xfId="0" applyNumberFormat="1" applyFont="1" applyFill="1" applyBorder="1"/>
    <xf numFmtId="14" fontId="3" fillId="122" borderId="5" xfId="0" applyNumberFormat="1" applyFont="1" applyFill="1" applyBorder="1"/>
    <xf numFmtId="14" fontId="3" fillId="123" borderId="5" xfId="0" applyNumberFormat="1" applyFont="1" applyFill="1" applyBorder="1"/>
    <xf numFmtId="14" fontId="3" fillId="124" borderId="5" xfId="0" applyNumberFormat="1" applyFont="1" applyFill="1" applyBorder="1"/>
    <xf numFmtId="14" fontId="3" fillId="125" borderId="5" xfId="0" applyNumberFormat="1" applyFont="1" applyFill="1" applyBorder="1"/>
    <xf numFmtId="14" fontId="3" fillId="126" borderId="5" xfId="0" applyNumberFormat="1" applyFont="1" applyFill="1" applyBorder="1"/>
    <xf numFmtId="14" fontId="3" fillId="127" borderId="5" xfId="0" applyNumberFormat="1" applyFont="1" applyFill="1" applyBorder="1"/>
    <xf numFmtId="14" fontId="3" fillId="128" borderId="5" xfId="0" applyNumberFormat="1" applyFont="1" applyFill="1" applyBorder="1"/>
    <xf numFmtId="14" fontId="3" fillId="129" borderId="5" xfId="0" applyNumberFormat="1" applyFont="1" applyFill="1" applyBorder="1"/>
    <xf numFmtId="14" fontId="3" fillId="130" borderId="5" xfId="0" applyNumberFormat="1" applyFont="1" applyFill="1" applyBorder="1"/>
    <xf numFmtId="14" fontId="3" fillId="131" borderId="5" xfId="0" applyNumberFormat="1" applyFont="1" applyFill="1" applyBorder="1"/>
    <xf numFmtId="14" fontId="3" fillId="132" borderId="5" xfId="0" applyNumberFormat="1" applyFont="1" applyFill="1" applyBorder="1"/>
    <xf numFmtId="14" fontId="3" fillId="133" borderId="5" xfId="0" applyNumberFormat="1" applyFont="1" applyFill="1" applyBorder="1"/>
    <xf numFmtId="0" fontId="39" fillId="62" borderId="1" xfId="0" applyFont="1" applyFill="1" applyBorder="1" applyAlignment="1">
      <alignment horizontal="center" vertical="center"/>
    </xf>
    <xf numFmtId="0" fontId="39" fillId="10" borderId="1" xfId="0" applyFont="1" applyFill="1" applyBorder="1" applyAlignment="1">
      <alignment horizontal="center" vertical="center"/>
    </xf>
    <xf numFmtId="0" fontId="39" fillId="13" borderId="1" xfId="0" applyFont="1" applyFill="1" applyBorder="1" applyAlignment="1">
      <alignment horizontal="center" vertical="center"/>
    </xf>
    <xf numFmtId="0" fontId="39" fillId="67" borderId="1" xfId="0" applyFont="1" applyFill="1" applyBorder="1" applyAlignment="1">
      <alignment horizontal="center" vertical="center"/>
    </xf>
    <xf numFmtId="0" fontId="39" fillId="14" borderId="1" xfId="0" applyFont="1" applyFill="1" applyBorder="1" applyAlignment="1">
      <alignment horizontal="center" vertical="center"/>
    </xf>
    <xf numFmtId="0" fontId="39" fillId="15" borderId="1" xfId="0" applyFont="1" applyFill="1" applyBorder="1" applyAlignment="1">
      <alignment horizontal="center" vertical="center"/>
    </xf>
    <xf numFmtId="0" fontId="39" fillId="69" borderId="1" xfId="0" applyFont="1" applyFill="1" applyBorder="1" applyAlignment="1">
      <alignment horizontal="center" vertical="center"/>
    </xf>
    <xf numFmtId="0" fontId="39" fillId="17" borderId="1" xfId="0" applyFont="1" applyFill="1" applyBorder="1" applyAlignment="1">
      <alignment horizontal="center" vertical="center"/>
    </xf>
    <xf numFmtId="0" fontId="39" fillId="73" borderId="1" xfId="0" applyFont="1" applyFill="1" applyBorder="1" applyAlignment="1">
      <alignment horizontal="center" vertical="center"/>
    </xf>
    <xf numFmtId="0" fontId="39" fillId="68" borderId="1" xfId="0" applyFont="1" applyFill="1" applyBorder="1" applyAlignment="1">
      <alignment horizontal="center" vertical="center"/>
    </xf>
    <xf numFmtId="0" fontId="39" fillId="18" borderId="1" xfId="0" applyFont="1" applyFill="1" applyBorder="1" applyAlignment="1">
      <alignment horizontal="center" vertical="center"/>
    </xf>
    <xf numFmtId="0" fontId="39" fillId="21" borderId="1" xfId="0" applyFont="1" applyFill="1" applyBorder="1" applyAlignment="1">
      <alignment horizontal="center" vertical="center"/>
    </xf>
    <xf numFmtId="0" fontId="39" fillId="79" borderId="1" xfId="0" applyFont="1" applyFill="1" applyBorder="1" applyAlignment="1">
      <alignment horizontal="center" vertical="center"/>
    </xf>
    <xf numFmtId="0" fontId="39" fillId="23" borderId="1" xfId="0" applyFont="1" applyFill="1" applyBorder="1" applyAlignment="1">
      <alignment horizontal="center" vertical="center"/>
    </xf>
    <xf numFmtId="0" fontId="39" fillId="80" borderId="1" xfId="0" applyFont="1" applyFill="1" applyBorder="1" applyAlignment="1">
      <alignment horizontal="center" vertical="center"/>
    </xf>
    <xf numFmtId="0" fontId="39" fillId="26" borderId="1" xfId="0" applyFont="1" applyFill="1" applyBorder="1" applyAlignment="1">
      <alignment horizontal="center" vertical="center"/>
    </xf>
    <xf numFmtId="0" fontId="39" fillId="27" borderId="1" xfId="0" applyFont="1" applyFill="1" applyBorder="1" applyAlignment="1">
      <alignment horizontal="center" vertical="center"/>
    </xf>
    <xf numFmtId="0" fontId="39" fillId="81" borderId="1" xfId="0" applyFont="1" applyFill="1" applyBorder="1" applyAlignment="1">
      <alignment horizontal="center" vertical="center"/>
    </xf>
    <xf numFmtId="0" fontId="39" fillId="82" borderId="1" xfId="0" applyFont="1" applyFill="1" applyBorder="1" applyAlignment="1">
      <alignment horizontal="center" vertical="center"/>
    </xf>
    <xf numFmtId="0" fontId="39" fillId="31" borderId="1" xfId="0" applyFont="1" applyFill="1" applyBorder="1" applyAlignment="1">
      <alignment horizontal="center" vertical="center"/>
    </xf>
    <xf numFmtId="0" fontId="39" fillId="32" borderId="1" xfId="0" applyFont="1" applyFill="1" applyBorder="1" applyAlignment="1">
      <alignment horizontal="center" vertical="center"/>
    </xf>
    <xf numFmtId="0" fontId="39" fillId="83" borderId="1" xfId="0" applyFont="1" applyFill="1" applyBorder="1" applyAlignment="1">
      <alignment horizontal="center" vertical="center"/>
    </xf>
    <xf numFmtId="0" fontId="7" fillId="109" borderId="1" xfId="0" applyFont="1" applyFill="1" applyBorder="1" applyAlignment="1">
      <alignment horizontal="center" vertical="center"/>
    </xf>
    <xf numFmtId="0" fontId="7" fillId="71" borderId="1" xfId="0" applyFont="1" applyFill="1" applyBorder="1" applyAlignment="1">
      <alignment horizontal="center" vertical="center"/>
    </xf>
    <xf numFmtId="0" fontId="7" fillId="108" borderId="1" xfId="0" applyFont="1" applyFill="1" applyBorder="1" applyAlignment="1">
      <alignment horizontal="center" vertical="center"/>
    </xf>
    <xf numFmtId="0" fontId="28" fillId="64" borderId="0" xfId="0" applyFont="1" applyFill="1" applyAlignment="1">
      <alignment horizontal="center" vertical="center"/>
    </xf>
    <xf numFmtId="0" fontId="28" fillId="63" borderId="0" xfId="0" applyFont="1" applyFill="1" applyAlignment="1">
      <alignment horizontal="left" vertical="center"/>
    </xf>
    <xf numFmtId="0" fontId="17" fillId="38" borderId="0" xfId="0" applyFont="1" applyFill="1" applyAlignment="1">
      <alignment horizontal="center"/>
    </xf>
    <xf numFmtId="0" fontId="14" fillId="38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23" fillId="47" borderId="0" xfId="0" applyFont="1" applyFill="1" applyAlignment="1">
      <alignment horizontal="center" vertical="top"/>
    </xf>
    <xf numFmtId="0" fontId="22" fillId="47" borderId="0" xfId="0" applyFont="1" applyFill="1" applyAlignment="1">
      <alignment horizontal="center" vertical="top"/>
    </xf>
    <xf numFmtId="0" fontId="20" fillId="47" borderId="0" xfId="0" applyFont="1" applyFill="1" applyAlignment="1">
      <alignment horizontal="center" vertical="top"/>
    </xf>
    <xf numFmtId="0" fontId="24" fillId="47" borderId="0" xfId="0" applyFont="1" applyFill="1" applyAlignment="1">
      <alignment horizontal="center" vertical="top"/>
    </xf>
    <xf numFmtId="0" fontId="0" fillId="0" borderId="0" xfId="0" applyAlignment="1">
      <alignment horizontal="center"/>
    </xf>
    <xf numFmtId="0" fontId="32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34" fillId="0" borderId="0" xfId="0" applyFont="1" applyAlignment="1">
      <alignment horizontal="center"/>
    </xf>
    <xf numFmtId="0" fontId="6" fillId="110" borderId="1" xfId="0" applyFont="1" applyFill="1" applyBorder="1" applyAlignment="1">
      <alignment vertical="center"/>
    </xf>
    <xf numFmtId="0" fontId="6" fillId="111" borderId="89" xfId="0" applyFont="1" applyFill="1" applyBorder="1" applyAlignment="1">
      <alignment horizontal="center" vertical="center" textRotation="90"/>
    </xf>
    <xf numFmtId="0" fontId="6" fillId="111" borderId="8" xfId="0" applyFont="1" applyFill="1" applyBorder="1" applyAlignment="1">
      <alignment horizontal="center" vertical="center" textRotation="90"/>
    </xf>
    <xf numFmtId="0" fontId="6" fillId="111" borderId="2" xfId="0" applyFont="1" applyFill="1" applyBorder="1" applyAlignment="1">
      <alignment horizontal="center" vertical="center" textRotation="90"/>
    </xf>
    <xf numFmtId="0" fontId="6" fillId="66" borderId="89" xfId="0" applyFont="1" applyFill="1" applyBorder="1" applyAlignment="1">
      <alignment horizontal="center" vertical="center" textRotation="90"/>
    </xf>
    <xf numFmtId="0" fontId="6" fillId="66" borderId="8" xfId="0" applyFont="1" applyFill="1" applyBorder="1" applyAlignment="1">
      <alignment horizontal="center" vertical="center" textRotation="90"/>
    </xf>
    <xf numFmtId="0" fontId="6" fillId="66" borderId="2" xfId="0" applyFont="1" applyFill="1" applyBorder="1" applyAlignment="1">
      <alignment horizontal="center" vertical="center" textRotation="90"/>
    </xf>
    <xf numFmtId="0" fontId="7" fillId="109" borderId="1" xfId="0" applyFont="1" applyFill="1" applyBorder="1" applyAlignment="1">
      <alignment horizontal="center" vertical="center" textRotation="90"/>
    </xf>
    <xf numFmtId="0" fontId="7" fillId="109" borderId="1" xfId="0" applyFont="1" applyFill="1" applyBorder="1" applyAlignment="1">
      <alignment horizontal="center" vertical="center"/>
    </xf>
    <xf numFmtId="0" fontId="3" fillId="58" borderId="1" xfId="0" applyFont="1" applyFill="1" applyBorder="1" applyAlignment="1">
      <alignment horizontal="center" vertical="center"/>
    </xf>
    <xf numFmtId="0" fontId="3" fillId="39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6" borderId="1" xfId="0" applyFont="1" applyFill="1" applyBorder="1" applyAlignment="1">
      <alignment horizontal="center" vertical="center"/>
    </xf>
    <xf numFmtId="0" fontId="3" fillId="55" borderId="1" xfId="0" applyFont="1" applyFill="1" applyBorder="1" applyAlignment="1">
      <alignment horizontal="center" vertical="center"/>
    </xf>
    <xf numFmtId="0" fontId="7" fillId="71" borderId="1" xfId="0" applyFont="1" applyFill="1" applyBorder="1" applyAlignment="1">
      <alignment horizontal="center" vertical="center" textRotation="90"/>
    </xf>
    <xf numFmtId="0" fontId="7" fillId="108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7" fillId="71" borderId="1" xfId="0" applyFont="1" applyFill="1" applyBorder="1" applyAlignment="1">
      <alignment horizontal="center" vertical="center"/>
    </xf>
    <xf numFmtId="0" fontId="7" fillId="108" borderId="1" xfId="0" applyFont="1" applyFill="1" applyBorder="1" applyAlignment="1">
      <alignment horizontal="center" vertical="center" textRotation="90"/>
    </xf>
    <xf numFmtId="0" fontId="27" fillId="46" borderId="41" xfId="0" applyFont="1" applyFill="1" applyBorder="1" applyAlignment="1">
      <alignment horizontal="center" vertical="center"/>
    </xf>
    <xf numFmtId="0" fontId="27" fillId="46" borderId="42" xfId="0" applyFont="1" applyFill="1" applyBorder="1" applyAlignment="1">
      <alignment horizontal="center" vertical="center"/>
    </xf>
    <xf numFmtId="0" fontId="27" fillId="46" borderId="43" xfId="0" applyFont="1" applyFill="1" applyBorder="1" applyAlignment="1">
      <alignment horizontal="center" vertical="center"/>
    </xf>
    <xf numFmtId="0" fontId="3" fillId="99" borderId="204" xfId="0" applyFont="1" applyFill="1" applyBorder="1" applyAlignment="1">
      <alignment horizontal="center" vertical="center"/>
    </xf>
    <xf numFmtId="0" fontId="3" fillId="99" borderId="205" xfId="0" applyFont="1" applyFill="1" applyBorder="1" applyAlignment="1">
      <alignment horizontal="center" vertical="center"/>
    </xf>
    <xf numFmtId="0" fontId="3" fillId="3" borderId="206" xfId="0" applyFont="1" applyFill="1" applyBorder="1" applyAlignment="1">
      <alignment horizontal="center" vertical="center"/>
    </xf>
    <xf numFmtId="0" fontId="3" fillId="59" borderId="63" xfId="0" applyFont="1" applyFill="1" applyBorder="1" applyAlignment="1">
      <alignment horizontal="center" vertical="center"/>
    </xf>
    <xf numFmtId="0" fontId="3" fillId="59" borderId="64" xfId="0" applyFont="1" applyFill="1" applyBorder="1" applyAlignment="1">
      <alignment horizontal="center" vertical="center"/>
    </xf>
    <xf numFmtId="0" fontId="3" fillId="3" borderId="65" xfId="0" applyFont="1" applyFill="1" applyBorder="1" applyAlignment="1">
      <alignment horizontal="center" vertical="center"/>
    </xf>
    <xf numFmtId="0" fontId="3" fillId="93" borderId="260" xfId="0" applyFont="1" applyFill="1" applyBorder="1" applyAlignment="1">
      <alignment horizontal="center" vertical="center"/>
    </xf>
    <xf numFmtId="0" fontId="3" fillId="93" borderId="261" xfId="0" applyFont="1" applyFill="1" applyBorder="1" applyAlignment="1">
      <alignment horizontal="center" vertical="center"/>
    </xf>
    <xf numFmtId="0" fontId="3" fillId="3" borderId="262" xfId="0" applyFont="1" applyFill="1" applyBorder="1" applyAlignment="1">
      <alignment horizontal="center" vertical="center"/>
    </xf>
    <xf numFmtId="0" fontId="3" fillId="94" borderId="164" xfId="0" applyFont="1" applyFill="1" applyBorder="1" applyAlignment="1">
      <alignment horizontal="center" vertical="center"/>
    </xf>
    <xf numFmtId="0" fontId="3" fillId="94" borderId="165" xfId="0" applyFont="1" applyFill="1" applyBorder="1" applyAlignment="1">
      <alignment horizontal="center" vertical="center"/>
    </xf>
    <xf numFmtId="0" fontId="3" fillId="3" borderId="166" xfId="0" applyFont="1" applyFill="1" applyBorder="1" applyAlignment="1">
      <alignment horizontal="center" vertical="center"/>
    </xf>
    <xf numFmtId="0" fontId="3" fillId="95" borderId="172" xfId="0" applyFont="1" applyFill="1" applyBorder="1" applyAlignment="1">
      <alignment horizontal="center" vertical="center"/>
    </xf>
    <xf numFmtId="0" fontId="3" fillId="95" borderId="173" xfId="0" applyFont="1" applyFill="1" applyBorder="1" applyAlignment="1">
      <alignment horizontal="center" vertical="center"/>
    </xf>
    <xf numFmtId="0" fontId="3" fillId="3" borderId="174" xfId="0" applyFont="1" applyFill="1" applyBorder="1" applyAlignment="1">
      <alignment horizontal="center" vertical="center"/>
    </xf>
    <xf numFmtId="0" fontId="3" fillId="96" borderId="180" xfId="0" applyFont="1" applyFill="1" applyBorder="1" applyAlignment="1">
      <alignment horizontal="center" vertical="center"/>
    </xf>
    <xf numFmtId="0" fontId="3" fillId="96" borderId="181" xfId="0" applyFont="1" applyFill="1" applyBorder="1" applyAlignment="1">
      <alignment horizontal="center" vertical="center"/>
    </xf>
    <xf numFmtId="0" fontId="3" fillId="3" borderId="182" xfId="0" applyFont="1" applyFill="1" applyBorder="1" applyAlignment="1">
      <alignment horizontal="center" vertical="center"/>
    </xf>
    <xf numFmtId="0" fontId="3" fillId="43" borderId="55" xfId="0" applyFont="1" applyFill="1" applyBorder="1" applyAlignment="1">
      <alignment horizontal="center" vertical="center"/>
    </xf>
    <xf numFmtId="0" fontId="3" fillId="43" borderId="56" xfId="0" applyFont="1" applyFill="1" applyBorder="1" applyAlignment="1">
      <alignment horizontal="center" vertical="center"/>
    </xf>
    <xf numFmtId="0" fontId="3" fillId="3" borderId="57" xfId="0" applyFont="1" applyFill="1" applyBorder="1" applyAlignment="1">
      <alignment horizontal="center" vertical="center"/>
    </xf>
    <xf numFmtId="0" fontId="3" fillId="43" borderId="90" xfId="0" applyFont="1" applyFill="1" applyBorder="1" applyAlignment="1">
      <alignment horizontal="center" vertical="center"/>
    </xf>
    <xf numFmtId="0" fontId="3" fillId="43" borderId="91" xfId="0" applyFont="1" applyFill="1" applyBorder="1" applyAlignment="1">
      <alignment horizontal="center" vertical="center"/>
    </xf>
    <xf numFmtId="0" fontId="3" fillId="3" borderId="92" xfId="0" applyFont="1" applyFill="1" applyBorder="1" applyAlignment="1">
      <alignment horizontal="center" vertical="center"/>
    </xf>
    <xf numFmtId="0" fontId="3" fillId="101" borderId="220" xfId="0" applyFont="1" applyFill="1" applyBorder="1" applyAlignment="1">
      <alignment horizontal="center" vertical="center"/>
    </xf>
    <xf numFmtId="0" fontId="3" fillId="101" borderId="221" xfId="0" applyFont="1" applyFill="1" applyBorder="1" applyAlignment="1">
      <alignment horizontal="center" vertical="center"/>
    </xf>
    <xf numFmtId="0" fontId="3" fillId="3" borderId="222" xfId="0" applyFont="1" applyFill="1" applyBorder="1" applyAlignment="1">
      <alignment horizontal="center" vertical="center"/>
    </xf>
    <xf numFmtId="0" fontId="3" fillId="102" borderId="228" xfId="0" applyFont="1" applyFill="1" applyBorder="1" applyAlignment="1">
      <alignment horizontal="center" vertical="center"/>
    </xf>
    <xf numFmtId="0" fontId="3" fillId="102" borderId="229" xfId="0" applyFont="1" applyFill="1" applyBorder="1" applyAlignment="1">
      <alignment horizontal="center" vertical="center"/>
    </xf>
    <xf numFmtId="0" fontId="3" fillId="3" borderId="230" xfId="0" applyFont="1" applyFill="1" applyBorder="1" applyAlignment="1">
      <alignment horizontal="center" vertical="center"/>
    </xf>
    <xf numFmtId="0" fontId="3" fillId="104" borderId="244" xfId="0" applyFont="1" applyFill="1" applyBorder="1" applyAlignment="1">
      <alignment horizontal="center" vertical="center"/>
    </xf>
    <xf numFmtId="0" fontId="3" fillId="104" borderId="245" xfId="0" applyFont="1" applyFill="1" applyBorder="1" applyAlignment="1">
      <alignment horizontal="center" vertical="center"/>
    </xf>
    <xf numFmtId="0" fontId="3" fillId="3" borderId="246" xfId="0" applyFont="1" applyFill="1" applyBorder="1" applyAlignment="1">
      <alignment horizontal="center" vertical="center"/>
    </xf>
    <xf numFmtId="0" fontId="3" fillId="103" borderId="236" xfId="0" applyFont="1" applyFill="1" applyBorder="1" applyAlignment="1">
      <alignment horizontal="center" vertical="center"/>
    </xf>
    <xf numFmtId="0" fontId="3" fillId="103" borderId="237" xfId="0" applyFont="1" applyFill="1" applyBorder="1" applyAlignment="1">
      <alignment horizontal="center" vertical="center"/>
    </xf>
    <xf numFmtId="0" fontId="3" fillId="3" borderId="238" xfId="0" applyFont="1" applyFill="1" applyBorder="1" applyAlignment="1">
      <alignment horizontal="center" vertical="center"/>
    </xf>
    <xf numFmtId="0" fontId="3" fillId="84" borderId="100" xfId="0" applyFont="1" applyFill="1" applyBorder="1" applyAlignment="1">
      <alignment horizontal="center" vertical="center"/>
    </xf>
    <xf numFmtId="0" fontId="3" fillId="84" borderId="101" xfId="0" applyFont="1" applyFill="1" applyBorder="1" applyAlignment="1">
      <alignment horizontal="center" vertical="center"/>
    </xf>
    <xf numFmtId="0" fontId="3" fillId="3" borderId="102" xfId="0" applyFont="1" applyFill="1" applyBorder="1" applyAlignment="1">
      <alignment horizontal="center" vertical="center"/>
    </xf>
    <xf numFmtId="0" fontId="3" fillId="85" borderId="55" xfId="0" applyFont="1" applyFill="1" applyBorder="1" applyAlignment="1">
      <alignment horizontal="center" vertical="center"/>
    </xf>
    <xf numFmtId="0" fontId="3" fillId="85" borderId="56" xfId="0" applyFont="1" applyFill="1" applyBorder="1" applyAlignment="1">
      <alignment horizontal="center" vertical="center"/>
    </xf>
    <xf numFmtId="0" fontId="3" fillId="85" borderId="108" xfId="0" applyFont="1" applyFill="1" applyBorder="1" applyAlignment="1">
      <alignment horizontal="center" vertical="center"/>
    </xf>
    <xf numFmtId="0" fontId="3" fillId="85" borderId="109" xfId="0" applyFont="1" applyFill="1" applyBorder="1" applyAlignment="1">
      <alignment horizontal="center" vertical="center"/>
    </xf>
    <xf numFmtId="0" fontId="3" fillId="3" borderId="110" xfId="0" applyFont="1" applyFill="1" applyBorder="1" applyAlignment="1">
      <alignment horizontal="center" vertical="center"/>
    </xf>
    <xf numFmtId="0" fontId="3" fillId="86" borderId="116" xfId="0" applyFont="1" applyFill="1" applyBorder="1" applyAlignment="1">
      <alignment horizontal="center" vertical="center"/>
    </xf>
    <xf numFmtId="0" fontId="3" fillId="86" borderId="117" xfId="0" applyFont="1" applyFill="1" applyBorder="1" applyAlignment="1">
      <alignment horizontal="center" vertical="center"/>
    </xf>
    <xf numFmtId="0" fontId="3" fillId="3" borderId="118" xfId="0" applyFont="1" applyFill="1" applyBorder="1" applyAlignment="1">
      <alignment horizontal="center" vertical="center"/>
    </xf>
    <xf numFmtId="0" fontId="3" fillId="86" borderId="55" xfId="0" applyFont="1" applyFill="1" applyBorder="1" applyAlignment="1">
      <alignment horizontal="center" vertical="center"/>
    </xf>
    <xf numFmtId="0" fontId="3" fillId="86" borderId="56" xfId="0" applyFont="1" applyFill="1" applyBorder="1" applyAlignment="1">
      <alignment horizontal="center" vertical="center"/>
    </xf>
    <xf numFmtId="0" fontId="3" fillId="87" borderId="124" xfId="0" applyFont="1" applyFill="1" applyBorder="1" applyAlignment="1">
      <alignment horizontal="center" vertical="center"/>
    </xf>
    <xf numFmtId="0" fontId="3" fillId="87" borderId="125" xfId="0" applyFont="1" applyFill="1" applyBorder="1" applyAlignment="1">
      <alignment horizontal="center" vertical="center"/>
    </xf>
    <xf numFmtId="0" fontId="3" fillId="3" borderId="126" xfId="0" applyFont="1" applyFill="1" applyBorder="1" applyAlignment="1">
      <alignment horizontal="center" vertical="center"/>
    </xf>
    <xf numFmtId="0" fontId="3" fillId="88" borderId="132" xfId="0" applyFont="1" applyFill="1" applyBorder="1" applyAlignment="1">
      <alignment horizontal="center" vertical="center"/>
    </xf>
    <xf numFmtId="0" fontId="3" fillId="88" borderId="133" xfId="0" applyFont="1" applyFill="1" applyBorder="1" applyAlignment="1">
      <alignment horizontal="center" vertical="center"/>
    </xf>
    <xf numFmtId="0" fontId="3" fillId="3" borderId="134" xfId="0" applyFont="1" applyFill="1" applyBorder="1" applyAlignment="1">
      <alignment horizontal="center" vertical="center"/>
    </xf>
    <xf numFmtId="0" fontId="3" fillId="89" borderId="252" xfId="0" applyFont="1" applyFill="1" applyBorder="1" applyAlignment="1">
      <alignment horizontal="center" vertical="center"/>
    </xf>
    <xf numFmtId="0" fontId="3" fillId="89" borderId="253" xfId="0" applyFont="1" applyFill="1" applyBorder="1" applyAlignment="1">
      <alignment horizontal="center" vertical="center"/>
    </xf>
    <xf numFmtId="0" fontId="3" fillId="3" borderId="254" xfId="0" applyFont="1" applyFill="1" applyBorder="1" applyAlignment="1">
      <alignment horizontal="center" vertical="center"/>
    </xf>
    <xf numFmtId="0" fontId="3" fillId="90" borderId="140" xfId="0" applyFont="1" applyFill="1" applyBorder="1" applyAlignment="1">
      <alignment horizontal="center" vertical="center"/>
    </xf>
    <xf numFmtId="0" fontId="3" fillId="90" borderId="141" xfId="0" applyFont="1" applyFill="1" applyBorder="1" applyAlignment="1">
      <alignment horizontal="center" vertical="center"/>
    </xf>
    <xf numFmtId="0" fontId="3" fillId="3" borderId="142" xfId="0" applyFont="1" applyFill="1" applyBorder="1" applyAlignment="1">
      <alignment horizontal="center" vertical="center"/>
    </xf>
    <xf numFmtId="0" fontId="3" fillId="91" borderId="148" xfId="0" applyFont="1" applyFill="1" applyBorder="1" applyAlignment="1">
      <alignment horizontal="center" vertical="center"/>
    </xf>
    <xf numFmtId="0" fontId="3" fillId="91" borderId="149" xfId="0" applyFont="1" applyFill="1" applyBorder="1" applyAlignment="1">
      <alignment horizontal="center" vertical="center"/>
    </xf>
    <xf numFmtId="0" fontId="3" fillId="3" borderId="150" xfId="0" applyFont="1" applyFill="1" applyBorder="1" applyAlignment="1">
      <alignment horizontal="center" vertical="center"/>
    </xf>
    <xf numFmtId="0" fontId="3" fillId="52" borderId="55" xfId="0" applyFont="1" applyFill="1" applyBorder="1" applyAlignment="1">
      <alignment horizontal="center" vertical="center"/>
    </xf>
    <xf numFmtId="0" fontId="3" fillId="52" borderId="56" xfId="0" applyFont="1" applyFill="1" applyBorder="1" applyAlignment="1">
      <alignment horizontal="center" vertical="center"/>
    </xf>
    <xf numFmtId="0" fontId="3" fillId="53" borderId="55" xfId="0" applyFont="1" applyFill="1" applyBorder="1" applyAlignment="1">
      <alignment horizontal="center" vertical="center"/>
    </xf>
    <xf numFmtId="0" fontId="3" fillId="53" borderId="56" xfId="0" applyFont="1" applyFill="1" applyBorder="1" applyAlignment="1">
      <alignment horizontal="center" vertical="center"/>
    </xf>
    <xf numFmtId="0" fontId="3" fillId="54" borderId="55" xfId="0" applyFont="1" applyFill="1" applyBorder="1" applyAlignment="1">
      <alignment horizontal="center" vertical="center"/>
    </xf>
    <xf numFmtId="0" fontId="3" fillId="54" borderId="56" xfId="0" applyFont="1" applyFill="1" applyBorder="1" applyAlignment="1">
      <alignment horizontal="center" vertical="center"/>
    </xf>
    <xf numFmtId="0" fontId="3" fillId="61" borderId="79" xfId="0" applyFont="1" applyFill="1" applyBorder="1" applyAlignment="1">
      <alignment horizontal="center" vertical="center"/>
    </xf>
    <xf numFmtId="0" fontId="3" fillId="61" borderId="80" xfId="0" applyFont="1" applyFill="1" applyBorder="1" applyAlignment="1">
      <alignment horizontal="center" vertical="center"/>
    </xf>
    <xf numFmtId="0" fontId="3" fillId="3" borderId="81" xfId="0" applyFont="1" applyFill="1" applyBorder="1" applyAlignment="1">
      <alignment horizontal="center" vertical="center"/>
    </xf>
    <xf numFmtId="0" fontId="3" fillId="92" borderId="156" xfId="0" applyFont="1" applyFill="1" applyBorder="1" applyAlignment="1">
      <alignment horizontal="center" vertical="center"/>
    </xf>
    <xf numFmtId="0" fontId="3" fillId="92" borderId="157" xfId="0" applyFont="1" applyFill="1" applyBorder="1" applyAlignment="1">
      <alignment horizontal="center" vertical="center"/>
    </xf>
    <xf numFmtId="0" fontId="3" fillId="3" borderId="158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5" fillId="39" borderId="19" xfId="0" applyFont="1" applyFill="1" applyBorder="1" applyAlignment="1">
      <alignment horizontal="center" vertical="center"/>
    </xf>
    <xf numFmtId="0" fontId="15" fillId="39" borderId="20" xfId="0" applyFont="1" applyFill="1" applyBorder="1" applyAlignment="1">
      <alignment horizontal="center" vertical="center"/>
    </xf>
    <xf numFmtId="0" fontId="15" fillId="39" borderId="26" xfId="0" applyFont="1" applyFill="1" applyBorder="1" applyAlignment="1">
      <alignment horizontal="center" vertical="center"/>
    </xf>
    <xf numFmtId="0" fontId="15" fillId="42" borderId="33" xfId="0" applyFont="1" applyFill="1" applyBorder="1" applyAlignment="1">
      <alignment horizontal="center" vertical="center"/>
    </xf>
    <xf numFmtId="0" fontId="15" fillId="42" borderId="34" xfId="0" applyFont="1" applyFill="1" applyBorder="1" applyAlignment="1">
      <alignment horizontal="center" vertical="center"/>
    </xf>
    <xf numFmtId="0" fontId="15" fillId="42" borderId="35" xfId="0" applyFont="1" applyFill="1" applyBorder="1" applyAlignment="1">
      <alignment horizontal="center" vertical="center"/>
    </xf>
    <xf numFmtId="0" fontId="15" fillId="45" borderId="44" xfId="0" applyFont="1" applyFill="1" applyBorder="1" applyAlignment="1">
      <alignment horizontal="center" vertical="center"/>
    </xf>
    <xf numFmtId="0" fontId="15" fillId="45" borderId="45" xfId="0" applyFont="1" applyFill="1" applyBorder="1" applyAlignment="1">
      <alignment horizontal="center" vertical="center"/>
    </xf>
    <xf numFmtId="0" fontId="15" fillId="45" borderId="46" xfId="0" applyFont="1" applyFill="1" applyBorder="1" applyAlignment="1">
      <alignment horizontal="center" vertical="center"/>
    </xf>
    <xf numFmtId="0" fontId="3" fillId="59" borderId="55" xfId="0" applyFont="1" applyFill="1" applyBorder="1" applyAlignment="1">
      <alignment horizontal="center" vertical="center"/>
    </xf>
    <xf numFmtId="0" fontId="3" fillId="59" borderId="56" xfId="0" applyFont="1" applyFill="1" applyBorder="1" applyAlignment="1">
      <alignment horizontal="center" vertical="center"/>
    </xf>
    <xf numFmtId="0" fontId="3" fillId="60" borderId="55" xfId="0" applyFont="1" applyFill="1" applyBorder="1" applyAlignment="1">
      <alignment horizontal="center" vertical="center"/>
    </xf>
    <xf numFmtId="0" fontId="3" fillId="60" borderId="56" xfId="0" applyFont="1" applyFill="1" applyBorder="1" applyAlignment="1">
      <alignment horizontal="center" vertical="center"/>
    </xf>
    <xf numFmtId="0" fontId="3" fillId="60" borderId="71" xfId="0" applyFont="1" applyFill="1" applyBorder="1" applyAlignment="1">
      <alignment horizontal="center" vertical="center"/>
    </xf>
    <xf numFmtId="0" fontId="3" fillId="60" borderId="72" xfId="0" applyFont="1" applyFill="1" applyBorder="1" applyAlignment="1">
      <alignment horizontal="center" vertical="center"/>
    </xf>
    <xf numFmtId="0" fontId="3" fillId="3" borderId="73" xfId="0" applyFont="1" applyFill="1" applyBorder="1" applyAlignment="1">
      <alignment horizontal="center" vertical="center"/>
    </xf>
    <xf numFmtId="0" fontId="3" fillId="61" borderId="55" xfId="0" applyFont="1" applyFill="1" applyBorder="1" applyAlignment="1">
      <alignment horizontal="center" vertical="center"/>
    </xf>
    <xf numFmtId="0" fontId="3" fillId="61" borderId="56" xfId="0" applyFont="1" applyFill="1" applyBorder="1" applyAlignment="1">
      <alignment horizontal="center" vertical="center"/>
    </xf>
    <xf numFmtId="0" fontId="3" fillId="97" borderId="188" xfId="0" applyFont="1" applyFill="1" applyBorder="1" applyAlignment="1">
      <alignment horizontal="center" vertical="center"/>
    </xf>
    <xf numFmtId="0" fontId="3" fillId="97" borderId="189" xfId="0" applyFont="1" applyFill="1" applyBorder="1" applyAlignment="1">
      <alignment horizontal="center" vertical="center"/>
    </xf>
    <xf numFmtId="0" fontId="3" fillId="3" borderId="190" xfId="0" applyFont="1" applyFill="1" applyBorder="1" applyAlignment="1">
      <alignment horizontal="center" vertical="center"/>
    </xf>
    <xf numFmtId="0" fontId="3" fillId="87" borderId="55" xfId="0" applyFont="1" applyFill="1" applyBorder="1" applyAlignment="1">
      <alignment horizontal="center" vertical="center"/>
    </xf>
    <xf numFmtId="0" fontId="3" fillId="87" borderId="56" xfId="0" applyFont="1" applyFill="1" applyBorder="1" applyAlignment="1">
      <alignment horizontal="center" vertical="center"/>
    </xf>
    <xf numFmtId="0" fontId="3" fillId="88" borderId="55" xfId="0" applyFont="1" applyFill="1" applyBorder="1" applyAlignment="1">
      <alignment horizontal="center" vertical="center"/>
    </xf>
    <xf numFmtId="0" fontId="3" fillId="88" borderId="56" xfId="0" applyFont="1" applyFill="1" applyBorder="1" applyAlignment="1">
      <alignment horizontal="center" vertical="center"/>
    </xf>
    <xf numFmtId="0" fontId="25" fillId="40" borderId="27" xfId="0" applyFont="1" applyFill="1" applyBorder="1" applyAlignment="1">
      <alignment horizontal="center" vertical="center"/>
    </xf>
    <xf numFmtId="0" fontId="25" fillId="40" borderId="28" xfId="0" applyFont="1" applyFill="1" applyBorder="1" applyAlignment="1">
      <alignment horizontal="center" vertical="center"/>
    </xf>
    <xf numFmtId="0" fontId="25" fillId="40" borderId="29" xfId="0" applyFont="1" applyFill="1" applyBorder="1" applyAlignment="1">
      <alignment horizontal="center" vertical="center"/>
    </xf>
    <xf numFmtId="0" fontId="26" fillId="44" borderId="30" xfId="0" applyFont="1" applyFill="1" applyBorder="1" applyAlignment="1">
      <alignment horizontal="center" vertical="center"/>
    </xf>
    <xf numFmtId="0" fontId="26" fillId="44" borderId="31" xfId="0" applyFont="1" applyFill="1" applyBorder="1" applyAlignment="1">
      <alignment horizontal="center" vertical="center"/>
    </xf>
    <xf numFmtId="0" fontId="26" fillId="44" borderId="32" xfId="0" applyFont="1" applyFill="1" applyBorder="1" applyAlignment="1">
      <alignment horizontal="center" vertical="center"/>
    </xf>
    <xf numFmtId="0" fontId="3" fillId="100" borderId="212" xfId="0" applyFont="1" applyFill="1" applyBorder="1" applyAlignment="1">
      <alignment horizontal="center" vertical="center"/>
    </xf>
    <xf numFmtId="0" fontId="3" fillId="100" borderId="213" xfId="0" applyFont="1" applyFill="1" applyBorder="1" applyAlignment="1">
      <alignment horizontal="center" vertical="center"/>
    </xf>
    <xf numFmtId="0" fontId="3" fillId="3" borderId="214" xfId="0" applyFont="1" applyFill="1" applyBorder="1" applyAlignment="1">
      <alignment horizontal="center" vertical="center"/>
    </xf>
    <xf numFmtId="0" fontId="3" fillId="84" borderId="55" xfId="0" applyFont="1" applyFill="1" applyBorder="1" applyAlignment="1">
      <alignment horizontal="center" vertical="center"/>
    </xf>
    <xf numFmtId="0" fontId="3" fillId="84" borderId="56" xfId="0" applyFont="1" applyFill="1" applyBorder="1" applyAlignment="1">
      <alignment horizontal="center" vertical="center"/>
    </xf>
    <xf numFmtId="0" fontId="3" fillId="98" borderId="196" xfId="0" applyFont="1" applyFill="1" applyBorder="1" applyAlignment="1">
      <alignment horizontal="center" vertical="center"/>
    </xf>
    <xf numFmtId="0" fontId="3" fillId="98" borderId="197" xfId="0" applyFont="1" applyFill="1" applyBorder="1" applyAlignment="1">
      <alignment horizontal="center" vertical="center"/>
    </xf>
    <xf numFmtId="0" fontId="3" fillId="3" borderId="198" xfId="0" applyFont="1" applyFill="1" applyBorder="1" applyAlignment="1">
      <alignment horizontal="center" vertical="center"/>
    </xf>
    <xf numFmtId="164" fontId="0" fillId="35" borderId="6" xfId="0" applyNumberFormat="1" applyFont="1" applyFill="1" applyBorder="1"/>
  </cellXfs>
  <cellStyles count="2">
    <cellStyle name="KanbanCard" xfId="1"/>
    <cellStyle name="Normal" xfId="0" builtinId="0"/>
  </cellStyles>
  <dxfs count="75"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FFFF"/>
        <name val="Arial"/>
        <scheme val="none"/>
      </font>
      <numFmt numFmtId="19" formatCode="dd/mm/yyyy"/>
      <fill>
        <patternFill patternType="solid">
          <fgColor theme="4" tint="0.59999389629810485"/>
          <bgColor rgb="FF949DC5"/>
        </patternFill>
      </fill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/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dd/mm/yyyy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thin">
          <color theme="0"/>
        </left>
        <right/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numFmt numFmtId="19" formatCode="dd/mm/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FFFF"/>
        <name val="Arial"/>
        <scheme val="none"/>
      </font>
      <numFmt numFmtId="0" formatCode="General"/>
      <fill>
        <patternFill patternType="solid">
          <fgColor indexed="64"/>
          <bgColor rgb="FF949DC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theme="4" tint="0.59999389629810485"/>
          <bgColor theme="4" tint="0.59999389629810485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fill>
        <patternFill patternType="solid">
          <fgColor theme="4" tint="0.59999389629810485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9" formatCode="dd/mm/yyyy"/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/>
        <vertical/>
        <horizontal/>
      </border>
    </dxf>
    <dxf>
      <border outline="0">
        <top style="thin">
          <color theme="0"/>
        </top>
      </border>
    </dxf>
    <dxf>
      <border outline="0">
        <right style="thin">
          <color theme="0"/>
        </right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4" formatCode="0.00%"/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theme="5" tint="-0.249977111117893"/>
        </patternFill>
      </fill>
      <alignment horizontal="center" vertical="bottom" textRotation="0" wrapText="0" indent="0" justifyLastLine="0" shrinkToFit="0" readingOrder="0"/>
    </dxf>
    <dxf>
      <numFmt numFmtId="2" formatCode="0.00"/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n">
          <color theme="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theme="4" tint="0.59999389629810485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FFFF"/>
        <name val="Arial"/>
        <scheme val="none"/>
      </font>
      <fill>
        <patternFill patternType="solid">
          <fgColor indexed="64"/>
          <bgColor rgb="FFB7DAEB"/>
        </patternFill>
      </fill>
      <alignment horizontal="center" vertical="bottom" textRotation="0" wrapText="0" indent="0" justifyLastLine="0" shrinkToFit="0" readingOrder="0"/>
    </dxf>
    <dxf>
      <numFmt numFmtId="0" formatCode="General"/>
    </dxf>
  </dxfs>
  <tableStyles count="0" defaultTableStyle="TableStyleMedium2" defaultPivotStyle="PivotStyleLight16"/>
  <colors>
    <mruColors>
      <color rgb="FF9999FF"/>
      <color rgb="FFFFCCFF"/>
      <color rgb="FFFF99CC"/>
      <color rgb="FFFF33CC"/>
      <color rgb="FFFF99FF"/>
      <color rgb="FFFF3399"/>
      <color rgb="FFCC99FF"/>
      <color rgb="FFBC20D6"/>
      <color rgb="FFCCCC00"/>
      <color rgb="FF2561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806196023555278E-2"/>
          <c:y val="7.2478047035319695E-2"/>
          <c:w val="0.37851318598798311"/>
          <c:h val="0.80135707409037649"/>
        </c:manualLayout>
      </c:layout>
      <c:doughnutChart>
        <c:varyColors val="1"/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  <c:holeSize val="52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806196023555278E-2"/>
          <c:y val="7.2478047035319695E-2"/>
          <c:w val="0.37851318598798311"/>
          <c:h val="0.80135707409037649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spPr>
              <a:solidFill>
                <a:srgbClr val="FF5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C40-48AC-9B25-784297052B03}"/>
              </c:ext>
            </c:extLst>
          </c:dPt>
          <c:dPt>
            <c:idx val="1"/>
            <c:bubble3D val="0"/>
            <c:spPr>
              <a:solidFill>
                <a:srgbClr val="F6D90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C40-48AC-9B25-784297052B03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C40-48AC-9B25-784297052B03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C40-48AC-9B25-784297052B03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C40-48AC-9B25-784297052B0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74A0932-F4DF-49B2-BBDE-1E296D029EE5}" type="CELLRANGE">
                      <a:rPr lang="en-US">
                        <a:solidFill>
                          <a:schemeClr val="bg1"/>
                        </a:solidFill>
                      </a:rPr>
                      <a:pPr/>
                      <a:t>[CELLRANGE]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C40-48AC-9B25-784297052B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A7ED157-00BA-4B74-8077-C5EA25BC4DF2}" type="CELLRANGE">
                      <a:rPr lang="pt-BR"/>
                      <a:pPr/>
                      <a:t>[CELLRANGE]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40-48AC-9B25-784297052B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57D3323-192D-49EF-8802-94D4CB8BB84F}" type="CELLRANGE">
                      <a:rPr lang="pt-BR"/>
                      <a:pPr/>
                      <a:t>[CELLRANGE]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40-48AC-9B25-784297052B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F7D3288-ACF3-496B-83CD-B2F4C7F7A650}" type="CELLRANGE">
                      <a:rPr lang="pt-BR"/>
                      <a:pPr/>
                      <a:t>[CELLRANGE]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40-48AC-9B25-784297052B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C40-48AC-9B25-784297052B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Summary!$A$9:$A$13</c:f>
              <c:strCache>
                <c:ptCount val="5"/>
                <c:pt idx="0">
                  <c:v>Ruim</c:v>
                </c:pt>
                <c:pt idx="1">
                  <c:v>Razoavel</c:v>
                </c:pt>
                <c:pt idx="2">
                  <c:v>Bom</c:v>
                </c:pt>
                <c:pt idx="3">
                  <c:v>Ótimo</c:v>
                </c:pt>
                <c:pt idx="4">
                  <c:v>Total</c:v>
                </c:pt>
              </c:strCache>
            </c:strRef>
          </c:cat>
          <c:val>
            <c:numRef>
              <c:f>Summary!$B$9:$B$13</c:f>
              <c:numCache>
                <c:formatCode>General</c:formatCode>
                <c:ptCount val="5"/>
                <c:pt idx="0">
                  <c:v>50</c:v>
                </c:pt>
                <c:pt idx="1">
                  <c:v>25</c:v>
                </c:pt>
                <c:pt idx="2">
                  <c:v>15</c:v>
                </c:pt>
                <c:pt idx="3">
                  <c:v>10</c:v>
                </c:pt>
                <c:pt idx="4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Summary!$A$9:$A$12</c15:f>
                <c15:dlblRangeCache>
                  <c:ptCount val="4"/>
                  <c:pt idx="0">
                    <c:v>Ruim</c:v>
                  </c:pt>
                  <c:pt idx="1">
                    <c:v>Razoavel</c:v>
                  </c:pt>
                  <c:pt idx="2">
                    <c:v>Bom</c:v>
                  </c:pt>
                  <c:pt idx="3">
                    <c:v>Ótimo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DC40-48AC-9B25-784297052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2"/>
      </c:doughnutChart>
      <c:pieChart>
        <c:varyColors val="1"/>
        <c:ser>
          <c:idx val="1"/>
          <c:order val="1"/>
          <c:tx>
            <c:v>MarcadorDevDone</c:v>
          </c:tx>
          <c:spPr>
            <a:noFill/>
          </c:spPr>
          <c:dPt>
            <c:idx val="0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C-DC40-48AC-9B25-784297052B03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E-DC40-48AC-9B25-784297052B03}"/>
              </c:ext>
            </c:extLst>
          </c:dPt>
          <c:dPt>
            <c:idx val="2"/>
            <c:bubble3D val="0"/>
            <c:spPr>
              <a:noFill/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0-DC40-48AC-9B25-784297052B03}"/>
              </c:ext>
            </c:extLst>
          </c:dPt>
          <c:cat>
            <c:multiLvlStrRef>
              <c:f>Summary!#REF!</c:f>
            </c:multiLvlStrRef>
          </c:cat>
          <c:val>
            <c:numRef>
              <c:f>Summary!$C$2:$E$2</c:f>
              <c:numCache>
                <c:formatCode>General</c:formatCode>
                <c:ptCount val="3"/>
                <c:pt idx="0">
                  <c:v>0</c:v>
                </c:pt>
                <c:pt idx="1">
                  <c:v>3</c:v>
                </c:pt>
                <c:pt idx="2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C40-48AC-9B25-784297052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7806196023555278E-2"/>
          <c:y val="7.2478047035319695E-2"/>
          <c:w val="0.37851318598798311"/>
          <c:h val="0.80135707409037649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spPr>
              <a:solidFill>
                <a:srgbClr val="FF5050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C40-48AC-9B25-784297052B03}"/>
              </c:ext>
            </c:extLst>
          </c:dPt>
          <c:dPt>
            <c:idx val="1"/>
            <c:bubble3D val="0"/>
            <c:spPr>
              <a:solidFill>
                <a:srgbClr val="F6D904"/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C40-48AC-9B25-784297052B03}"/>
              </c:ext>
            </c:extLst>
          </c:dPt>
          <c:dPt>
            <c:idx val="2"/>
            <c:bubble3D val="0"/>
            <c:spPr>
              <a:solidFill>
                <a:schemeClr val="accent6">
                  <a:lumMod val="60000"/>
                  <a:lumOff val="4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C40-48AC-9B25-784297052B03}"/>
              </c:ext>
            </c:extLst>
          </c:dPt>
          <c:dPt>
            <c:idx val="3"/>
            <c:bubble3D val="0"/>
            <c:spPr>
              <a:solidFill>
                <a:schemeClr val="accent6">
                  <a:lumMod val="5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C40-48AC-9B25-784297052B03}"/>
              </c:ext>
            </c:extLst>
          </c:dPt>
          <c:dPt>
            <c:idx val="4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C40-48AC-9B25-784297052B03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fld id="{B74A0932-F4DF-49B2-BBDE-1E296D029EE5}" type="CELLRANGE">
                      <a:rPr lang="en-US">
                        <a:solidFill>
                          <a:schemeClr val="bg1"/>
                        </a:solidFill>
                      </a:rPr>
                      <a:pPr/>
                      <a:t>[CELLRANGE]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DC40-48AC-9B25-784297052B03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D2D1F6D-E214-4874-B141-64A278C7F00B}" type="CELLRANGE">
                      <a:rPr lang="pt-BR"/>
                      <a:pPr/>
                      <a:t>[CELLRANGE]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DC40-48AC-9B25-784297052B0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1B50630-9995-4707-B0C0-156E8144C504}" type="CELLRANGE">
                      <a:rPr lang="pt-BR"/>
                      <a:pPr/>
                      <a:t>[CELLRANGE]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DC40-48AC-9B25-784297052B0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E1AE58-1B92-4908-91ED-A49642CC4FF9}" type="CELLRANGE">
                      <a:rPr lang="pt-BR"/>
                      <a:pPr/>
                      <a:t>[CELLRANGE]</a:t>
                    </a:fld>
                    <a:endParaRPr lang="pt-BR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DC40-48AC-9B25-784297052B0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DC40-48AC-9B25-784297052B0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bg1"/>
                    </a:solidFill>
                    <a:latin typeface="Bahnschrift" panose="020B0502040204020203" pitchFamily="34" charset="0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Summary!$A$9:$A$13</c:f>
              <c:strCache>
                <c:ptCount val="5"/>
                <c:pt idx="0">
                  <c:v>Ruim</c:v>
                </c:pt>
                <c:pt idx="1">
                  <c:v>Razoavel</c:v>
                </c:pt>
                <c:pt idx="2">
                  <c:v>Bom</c:v>
                </c:pt>
                <c:pt idx="3">
                  <c:v>Ótimo</c:v>
                </c:pt>
                <c:pt idx="4">
                  <c:v>Total</c:v>
                </c:pt>
              </c:strCache>
            </c:strRef>
          </c:cat>
          <c:val>
            <c:numRef>
              <c:f>Summary!$B$9:$B$13</c:f>
              <c:numCache>
                <c:formatCode>General</c:formatCode>
                <c:ptCount val="5"/>
                <c:pt idx="0">
                  <c:v>50</c:v>
                </c:pt>
                <c:pt idx="1">
                  <c:v>25</c:v>
                </c:pt>
                <c:pt idx="2">
                  <c:v>15</c:v>
                </c:pt>
                <c:pt idx="3">
                  <c:v>10</c:v>
                </c:pt>
                <c:pt idx="4">
                  <c:v>100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Summary!$A$9:$A$12</c15:f>
                <c15:dlblRangeCache>
                  <c:ptCount val="4"/>
                  <c:pt idx="0">
                    <c:v>Ruim</c:v>
                  </c:pt>
                  <c:pt idx="1">
                    <c:v>Razoavel</c:v>
                  </c:pt>
                  <c:pt idx="2">
                    <c:v>Bom</c:v>
                  </c:pt>
                  <c:pt idx="3">
                    <c:v>Ótimo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A-DC40-48AC-9B25-784297052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2"/>
      </c:doughnutChart>
      <c:pieChart>
        <c:varyColors val="1"/>
        <c:ser>
          <c:idx val="1"/>
          <c:order val="1"/>
          <c:tx>
            <c:v>MarcadorDone</c:v>
          </c:tx>
          <c:spPr>
            <a:ln>
              <a:noFill/>
            </a:ln>
            <a:scene3d>
              <a:camera prst="orthographicFront"/>
              <a:lightRig rig="threePt" dir="t"/>
            </a:scene3d>
            <a:sp3d prstMaterial="matte">
              <a:bevelT w="63500" h="63500" prst="artDeco"/>
              <a:contourClr>
                <a:srgbClr val="000000"/>
              </a:contourClr>
            </a:sp3d>
          </c:spPr>
          <c:dPt>
            <c:idx val="0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DC40-48AC-9B25-784297052B03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19050">
                <a:noFill/>
              </a:ln>
              <a:effectLst/>
              <a:scene3d>
                <a:camera prst="orthographicFront"/>
                <a:lightRig rig="threePt" dir="t"/>
              </a:scene3d>
              <a:sp3d prstMaterial="matte">
                <a:bevelT w="63500" h="63500" prst="artDeco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E-DC40-48AC-9B25-784297052B03}"/>
              </c:ext>
            </c:extLst>
          </c:dPt>
          <c:dPt>
            <c:idx val="2"/>
            <c:bubble3D val="0"/>
            <c:spPr>
              <a:noFill/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DC40-48AC-9B25-784297052B03}"/>
              </c:ext>
            </c:extLst>
          </c:dPt>
          <c:cat>
            <c:multiLvlStrRef>
              <c:f>Summary!#REF!</c:f>
            </c:multiLvlStrRef>
          </c:cat>
          <c:val>
            <c:numRef>
              <c:f>Summary!$C$3:$E$3</c:f>
              <c:numCache>
                <c:formatCode>General</c:formatCode>
                <c:ptCount val="3"/>
                <c:pt idx="0">
                  <c:v>0</c:v>
                </c:pt>
                <c:pt idx="1">
                  <c:v>3</c:v>
                </c:pt>
                <c:pt idx="2">
                  <c:v>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C40-48AC-9B25-784297052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154340727746463E-2"/>
          <c:y val="1.2564103632172198E-2"/>
          <c:w val="0.92162996285341103"/>
          <c:h val="0.79780533204164039"/>
        </c:manualLayout>
      </c:layout>
      <c:lineChart>
        <c:grouping val="standard"/>
        <c:varyColors val="0"/>
        <c:ser>
          <c:idx val="10"/>
          <c:order val="0"/>
          <c:tx>
            <c:v>TotalBacklog</c:v>
          </c:tx>
          <c:marker>
            <c:symbol val="none"/>
          </c:marker>
          <c:dLbls>
            <c:delete val="1"/>
          </c:dLbls>
          <c:cat>
            <c:multiLvlStrRef>
              <c:f>Planning!$E$2:$BX$3</c:f>
              <c:multiLvlStrCache>
                <c:ptCount val="72"/>
                <c:lvl>
                  <c:pt idx="0">
                    <c:v>29/jan/25</c:v>
                  </c:pt>
                  <c:pt idx="1">
                    <c:v>30/jan/25</c:v>
                  </c:pt>
                  <c:pt idx="2">
                    <c:v>31/jan/25</c:v>
                  </c:pt>
                  <c:pt idx="3">
                    <c:v>01/fev/25</c:v>
                  </c:pt>
                  <c:pt idx="4">
                    <c:v>02/fev/25</c:v>
                  </c:pt>
                  <c:pt idx="5">
                    <c:v>03/fev/25</c:v>
                  </c:pt>
                  <c:pt idx="6">
                    <c:v>04/fev/25</c:v>
                  </c:pt>
                  <c:pt idx="7">
                    <c:v>05/fev/25</c:v>
                  </c:pt>
                  <c:pt idx="8">
                    <c:v>06/fev/25</c:v>
                  </c:pt>
                  <c:pt idx="9">
                    <c:v>07/fev/25</c:v>
                  </c:pt>
                  <c:pt idx="10">
                    <c:v>08/fev/25</c:v>
                  </c:pt>
                  <c:pt idx="11">
                    <c:v>09/fev/25</c:v>
                  </c:pt>
                  <c:pt idx="12">
                    <c:v>10/fev/25</c:v>
                  </c:pt>
                  <c:pt idx="13">
                    <c:v>11/fev/25</c:v>
                  </c:pt>
                  <c:pt idx="14">
                    <c:v>12/fev/25</c:v>
                  </c:pt>
                  <c:pt idx="15">
                    <c:v>13/fev/25</c:v>
                  </c:pt>
                  <c:pt idx="16">
                    <c:v>14/fev/25</c:v>
                  </c:pt>
                  <c:pt idx="17">
                    <c:v>15/fev/25</c:v>
                  </c:pt>
                  <c:pt idx="18">
                    <c:v>16/fev/25</c:v>
                  </c:pt>
                  <c:pt idx="19">
                    <c:v>17/fev/25</c:v>
                  </c:pt>
                  <c:pt idx="20">
                    <c:v>18/fev/25</c:v>
                  </c:pt>
                  <c:pt idx="21">
                    <c:v>19/fev/25</c:v>
                  </c:pt>
                  <c:pt idx="22">
                    <c:v>20/fev/25</c:v>
                  </c:pt>
                  <c:pt idx="23">
                    <c:v>21/fev/25</c:v>
                  </c:pt>
                  <c:pt idx="24">
                    <c:v>22/fev/25</c:v>
                  </c:pt>
                  <c:pt idx="25">
                    <c:v>23/fev/25</c:v>
                  </c:pt>
                  <c:pt idx="26">
                    <c:v>24/fev/25</c:v>
                  </c:pt>
                  <c:pt idx="27">
                    <c:v>25/fev/25</c:v>
                  </c:pt>
                  <c:pt idx="28">
                    <c:v>26/fev/25</c:v>
                  </c:pt>
                  <c:pt idx="29">
                    <c:v>27/fev/25</c:v>
                  </c:pt>
                  <c:pt idx="30">
                    <c:v>28/fev/25</c:v>
                  </c:pt>
                  <c:pt idx="31">
                    <c:v>01/mar/25</c:v>
                  </c:pt>
                  <c:pt idx="32">
                    <c:v>02/mar/25</c:v>
                  </c:pt>
                  <c:pt idx="33">
                    <c:v>03/mar/25</c:v>
                  </c:pt>
                  <c:pt idx="34">
                    <c:v>04/mar/25</c:v>
                  </c:pt>
                  <c:pt idx="35">
                    <c:v>05/mar/25</c:v>
                  </c:pt>
                  <c:pt idx="36">
                    <c:v>06/mar/25</c:v>
                  </c:pt>
                  <c:pt idx="37">
                    <c:v>07/mar/25</c:v>
                  </c:pt>
                  <c:pt idx="38">
                    <c:v>08/mar/25</c:v>
                  </c:pt>
                  <c:pt idx="39">
                    <c:v>09/mar/25</c:v>
                  </c:pt>
                  <c:pt idx="40">
                    <c:v>10/mar/25</c:v>
                  </c:pt>
                  <c:pt idx="41">
                    <c:v>11/mar/25</c:v>
                  </c:pt>
                  <c:pt idx="42">
                    <c:v>12/mar/25</c:v>
                  </c:pt>
                  <c:pt idx="43">
                    <c:v>13/mar/25</c:v>
                  </c:pt>
                  <c:pt idx="44">
                    <c:v>14/mar/25</c:v>
                  </c:pt>
                  <c:pt idx="45">
                    <c:v>15/mar/25</c:v>
                  </c:pt>
                  <c:pt idx="46">
                    <c:v>16/mar/25</c:v>
                  </c:pt>
                  <c:pt idx="47">
                    <c:v>17/mar/25</c:v>
                  </c:pt>
                  <c:pt idx="48">
                    <c:v>18/mar/25</c:v>
                  </c:pt>
                  <c:pt idx="49">
                    <c:v>19/mar/25</c:v>
                  </c:pt>
                  <c:pt idx="50">
                    <c:v>20/mar/25</c:v>
                  </c:pt>
                  <c:pt idx="51">
                    <c:v>21/mar/25</c:v>
                  </c:pt>
                  <c:pt idx="52">
                    <c:v>22/mar/25</c:v>
                  </c:pt>
                  <c:pt idx="53">
                    <c:v>23/mar/25</c:v>
                  </c:pt>
                  <c:pt idx="54">
                    <c:v>24/mar/25</c:v>
                  </c:pt>
                  <c:pt idx="55">
                    <c:v>25/mar/25</c:v>
                  </c:pt>
                  <c:pt idx="56">
                    <c:v>26/mar/25</c:v>
                  </c:pt>
                  <c:pt idx="57">
                    <c:v>27/mar/25</c:v>
                  </c:pt>
                  <c:pt idx="58">
                    <c:v>28/mar/25</c:v>
                  </c:pt>
                  <c:pt idx="59">
                    <c:v>29/mar/25</c:v>
                  </c:pt>
                  <c:pt idx="60">
                    <c:v>30/mar/25</c:v>
                  </c:pt>
                  <c:pt idx="61">
                    <c:v>31/mar/25</c:v>
                  </c:pt>
                  <c:pt idx="62">
                    <c:v>01/abr/25</c:v>
                  </c:pt>
                  <c:pt idx="63">
                    <c:v>02/abr/25</c:v>
                  </c:pt>
                  <c:pt idx="64">
                    <c:v>03/abr/25</c:v>
                  </c:pt>
                  <c:pt idx="65">
                    <c:v>04/abr/25</c:v>
                  </c:pt>
                  <c:pt idx="66">
                    <c:v>05/abr/25</c:v>
                  </c:pt>
                  <c:pt idx="67">
                    <c:v>06/abr/25</c:v>
                  </c:pt>
                  <c:pt idx="68">
                    <c:v>07/abr/25</c:v>
                  </c:pt>
                  <c:pt idx="69">
                    <c:v>08/abr/25</c:v>
                  </c:pt>
                  <c:pt idx="70">
                    <c:v>09/abr/25</c:v>
                  </c:pt>
                  <c:pt idx="71">
                    <c:v>10/abr/25</c:v>
                  </c:pt>
                </c:lvl>
                <c:lvl>
                  <c:pt idx="0">
                    <c:v>Sprint 1</c:v>
                  </c:pt>
                </c:lvl>
              </c:multiLvlStrCache>
            </c:multiLvlStrRef>
          </c:cat>
          <c:val>
            <c:numRef>
              <c:f>Planning!$E$41:$BX$41</c:f>
              <c:numCache>
                <c:formatCode>General</c:formatCode>
                <c:ptCount val="72"/>
                <c:pt idx="0">
                  <c:v>413</c:v>
                </c:pt>
                <c:pt idx="1">
                  <c:v>413</c:v>
                </c:pt>
                <c:pt idx="2">
                  <c:v>413</c:v>
                </c:pt>
                <c:pt idx="3">
                  <c:v>413</c:v>
                </c:pt>
                <c:pt idx="4">
                  <c:v>413</c:v>
                </c:pt>
                <c:pt idx="5">
                  <c:v>413</c:v>
                </c:pt>
                <c:pt idx="6">
                  <c:v>413</c:v>
                </c:pt>
                <c:pt idx="7">
                  <c:v>413</c:v>
                </c:pt>
                <c:pt idx="8">
                  <c:v>413</c:v>
                </c:pt>
                <c:pt idx="9">
                  <c:v>413</c:v>
                </c:pt>
                <c:pt idx="10">
                  <c:v>413</c:v>
                </c:pt>
                <c:pt idx="11">
                  <c:v>413</c:v>
                </c:pt>
                <c:pt idx="12">
                  <c:v>413</c:v>
                </c:pt>
                <c:pt idx="13">
                  <c:v>413</c:v>
                </c:pt>
                <c:pt idx="14">
                  <c:v>413</c:v>
                </c:pt>
                <c:pt idx="15">
                  <c:v>413</c:v>
                </c:pt>
                <c:pt idx="16">
                  <c:v>413</c:v>
                </c:pt>
                <c:pt idx="17">
                  <c:v>413</c:v>
                </c:pt>
                <c:pt idx="18">
                  <c:v>413</c:v>
                </c:pt>
                <c:pt idx="19">
                  <c:v>413</c:v>
                </c:pt>
                <c:pt idx="20">
                  <c:v>413</c:v>
                </c:pt>
                <c:pt idx="21">
                  <c:v>413</c:v>
                </c:pt>
                <c:pt idx="22">
                  <c:v>413</c:v>
                </c:pt>
                <c:pt idx="23">
                  <c:v>413</c:v>
                </c:pt>
                <c:pt idx="24">
                  <c:v>413</c:v>
                </c:pt>
                <c:pt idx="25">
                  <c:v>413</c:v>
                </c:pt>
                <c:pt idx="26">
                  <c:v>413</c:v>
                </c:pt>
                <c:pt idx="27">
                  <c:v>413</c:v>
                </c:pt>
                <c:pt idx="28">
                  <c:v>413</c:v>
                </c:pt>
                <c:pt idx="29">
                  <c:v>413</c:v>
                </c:pt>
                <c:pt idx="30">
                  <c:v>413</c:v>
                </c:pt>
                <c:pt idx="31">
                  <c:v>413</c:v>
                </c:pt>
                <c:pt idx="32">
                  <c:v>413</c:v>
                </c:pt>
                <c:pt idx="33">
                  <c:v>413</c:v>
                </c:pt>
                <c:pt idx="34">
                  <c:v>413</c:v>
                </c:pt>
                <c:pt idx="35">
                  <c:v>413</c:v>
                </c:pt>
                <c:pt idx="36">
                  <c:v>413</c:v>
                </c:pt>
                <c:pt idx="37">
                  <c:v>413</c:v>
                </c:pt>
                <c:pt idx="38">
                  <c:v>413</c:v>
                </c:pt>
                <c:pt idx="39">
                  <c:v>413</c:v>
                </c:pt>
                <c:pt idx="40">
                  <c:v>413</c:v>
                </c:pt>
                <c:pt idx="41">
                  <c:v>413</c:v>
                </c:pt>
                <c:pt idx="42">
                  <c:v>413</c:v>
                </c:pt>
                <c:pt idx="43">
                  <c:v>413</c:v>
                </c:pt>
                <c:pt idx="44">
                  <c:v>413</c:v>
                </c:pt>
                <c:pt idx="45">
                  <c:v>413</c:v>
                </c:pt>
                <c:pt idx="46">
                  <c:v>413</c:v>
                </c:pt>
                <c:pt idx="47">
                  <c:v>413</c:v>
                </c:pt>
                <c:pt idx="48">
                  <c:v>413</c:v>
                </c:pt>
                <c:pt idx="49">
                  <c:v>413</c:v>
                </c:pt>
                <c:pt idx="50">
                  <c:v>413</c:v>
                </c:pt>
                <c:pt idx="51">
                  <c:v>413</c:v>
                </c:pt>
                <c:pt idx="52">
                  <c:v>413</c:v>
                </c:pt>
                <c:pt idx="53">
                  <c:v>413</c:v>
                </c:pt>
                <c:pt idx="54">
                  <c:v>413</c:v>
                </c:pt>
                <c:pt idx="55">
                  <c:v>413</c:v>
                </c:pt>
                <c:pt idx="56">
                  <c:v>413</c:v>
                </c:pt>
                <c:pt idx="57">
                  <c:v>413</c:v>
                </c:pt>
                <c:pt idx="58">
                  <c:v>413</c:v>
                </c:pt>
                <c:pt idx="59">
                  <c:v>413</c:v>
                </c:pt>
                <c:pt idx="60">
                  <c:v>413</c:v>
                </c:pt>
                <c:pt idx="61">
                  <c:v>413</c:v>
                </c:pt>
                <c:pt idx="62">
                  <c:v>413</c:v>
                </c:pt>
                <c:pt idx="63">
                  <c:v>413</c:v>
                </c:pt>
                <c:pt idx="64">
                  <c:v>413</c:v>
                </c:pt>
                <c:pt idx="65">
                  <c:v>413</c:v>
                </c:pt>
                <c:pt idx="66">
                  <c:v>413</c:v>
                </c:pt>
                <c:pt idx="67">
                  <c:v>413</c:v>
                </c:pt>
                <c:pt idx="68">
                  <c:v>413</c:v>
                </c:pt>
                <c:pt idx="69">
                  <c:v>413</c:v>
                </c:pt>
                <c:pt idx="70">
                  <c:v>413</c:v>
                </c:pt>
                <c:pt idx="71">
                  <c:v>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65-4552-B481-05C4FCC265B2}"/>
            </c:ext>
          </c:extLst>
        </c:ser>
        <c:ser>
          <c:idx val="0"/>
          <c:order val="1"/>
          <c:tx>
            <c:v>DevPlan</c:v>
          </c:tx>
          <c:marker>
            <c:symbol val="none"/>
          </c:marker>
          <c:dLbls>
            <c:delete val="1"/>
          </c:dLbls>
          <c:cat>
            <c:multiLvlStrRef>
              <c:f>Planning!#REF!</c:f>
            </c:multiLvlStrRef>
          </c:cat>
          <c:val>
            <c:numRef>
              <c:f>Planning!$E$37:$BX$37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78</c:v>
                </c:pt>
                <c:pt idx="13">
                  <c:v>120</c:v>
                </c:pt>
                <c:pt idx="14">
                  <c:v>120</c:v>
                </c:pt>
                <c:pt idx="15">
                  <c:v>134</c:v>
                </c:pt>
                <c:pt idx="16">
                  <c:v>164</c:v>
                </c:pt>
                <c:pt idx="17">
                  <c:v>164</c:v>
                </c:pt>
                <c:pt idx="18">
                  <c:v>164</c:v>
                </c:pt>
                <c:pt idx="19">
                  <c:v>206</c:v>
                </c:pt>
                <c:pt idx="20">
                  <c:v>222</c:v>
                </c:pt>
                <c:pt idx="21">
                  <c:v>272</c:v>
                </c:pt>
                <c:pt idx="22">
                  <c:v>272</c:v>
                </c:pt>
                <c:pt idx="23">
                  <c:v>272</c:v>
                </c:pt>
                <c:pt idx="24">
                  <c:v>272</c:v>
                </c:pt>
                <c:pt idx="25">
                  <c:v>272</c:v>
                </c:pt>
                <c:pt idx="26">
                  <c:v>283</c:v>
                </c:pt>
                <c:pt idx="27">
                  <c:v>297</c:v>
                </c:pt>
                <c:pt idx="28">
                  <c:v>313</c:v>
                </c:pt>
                <c:pt idx="29">
                  <c:v>355</c:v>
                </c:pt>
                <c:pt idx="30">
                  <c:v>355</c:v>
                </c:pt>
                <c:pt idx="31">
                  <c:v>355</c:v>
                </c:pt>
                <c:pt idx="32">
                  <c:v>355</c:v>
                </c:pt>
                <c:pt idx="33">
                  <c:v>355</c:v>
                </c:pt>
                <c:pt idx="34">
                  <c:v>355</c:v>
                </c:pt>
                <c:pt idx="35">
                  <c:v>397</c:v>
                </c:pt>
                <c:pt idx="36">
                  <c:v>413</c:v>
                </c:pt>
                <c:pt idx="37">
                  <c:v>413</c:v>
                </c:pt>
                <c:pt idx="38">
                  <c:v>413</c:v>
                </c:pt>
                <c:pt idx="39">
                  <c:v>413</c:v>
                </c:pt>
                <c:pt idx="40">
                  <c:v>413</c:v>
                </c:pt>
                <c:pt idx="41">
                  <c:v>413</c:v>
                </c:pt>
                <c:pt idx="42">
                  <c:v>413</c:v>
                </c:pt>
                <c:pt idx="43">
                  <c:v>413</c:v>
                </c:pt>
                <c:pt idx="44">
                  <c:v>413</c:v>
                </c:pt>
                <c:pt idx="45">
                  <c:v>413</c:v>
                </c:pt>
                <c:pt idx="46">
                  <c:v>413</c:v>
                </c:pt>
                <c:pt idx="47">
                  <c:v>413</c:v>
                </c:pt>
                <c:pt idx="48">
                  <c:v>413</c:v>
                </c:pt>
                <c:pt idx="49">
                  <c:v>413</c:v>
                </c:pt>
                <c:pt idx="50">
                  <c:v>413</c:v>
                </c:pt>
                <c:pt idx="51">
                  <c:v>413</c:v>
                </c:pt>
                <c:pt idx="52">
                  <c:v>413</c:v>
                </c:pt>
                <c:pt idx="53">
                  <c:v>413</c:v>
                </c:pt>
                <c:pt idx="54">
                  <c:v>413</c:v>
                </c:pt>
                <c:pt idx="55">
                  <c:v>413</c:v>
                </c:pt>
                <c:pt idx="56">
                  <c:v>413</c:v>
                </c:pt>
                <c:pt idx="57">
                  <c:v>413</c:v>
                </c:pt>
                <c:pt idx="58">
                  <c:v>413</c:v>
                </c:pt>
                <c:pt idx="59">
                  <c:v>413</c:v>
                </c:pt>
                <c:pt idx="60">
                  <c:v>413</c:v>
                </c:pt>
                <c:pt idx="61">
                  <c:v>413</c:v>
                </c:pt>
                <c:pt idx="62">
                  <c:v>413</c:v>
                </c:pt>
                <c:pt idx="63">
                  <c:v>413</c:v>
                </c:pt>
                <c:pt idx="64">
                  <c:v>413</c:v>
                </c:pt>
                <c:pt idx="65">
                  <c:v>413</c:v>
                </c:pt>
                <c:pt idx="66">
                  <c:v>413</c:v>
                </c:pt>
                <c:pt idx="67">
                  <c:v>413</c:v>
                </c:pt>
                <c:pt idx="68">
                  <c:v>413</c:v>
                </c:pt>
                <c:pt idx="69">
                  <c:v>413</c:v>
                </c:pt>
                <c:pt idx="70">
                  <c:v>413</c:v>
                </c:pt>
                <c:pt idx="71">
                  <c:v>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065-4552-B481-05C4FCC265B2}"/>
            </c:ext>
          </c:extLst>
        </c:ser>
        <c:ser>
          <c:idx val="1"/>
          <c:order val="2"/>
          <c:tx>
            <c:v>DevDone</c:v>
          </c:tx>
          <c:marker>
            <c:symbol val="none"/>
          </c:marker>
          <c:dLbls>
            <c:delete val="1"/>
          </c:dLbls>
          <c:cat>
            <c:multiLvlStrRef>
              <c:f>Planning!#REF!</c:f>
            </c:multiLvlStrRef>
          </c:cat>
          <c:val>
            <c:numRef>
              <c:f>Planning!$E$38:$BX$38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065-4552-B481-05C4FCC265B2}"/>
            </c:ext>
          </c:extLst>
        </c:ser>
        <c:ser>
          <c:idx val="2"/>
          <c:order val="3"/>
          <c:tx>
            <c:v>Planejado</c:v>
          </c:tx>
          <c:marker>
            <c:symbol val="none"/>
          </c:marker>
          <c:dLbls>
            <c:delete val="1"/>
          </c:dLbls>
          <c:cat>
            <c:multiLvlStrRef>
              <c:f>Planning!#REF!</c:f>
            </c:multiLvlStrRef>
          </c:cat>
          <c:val>
            <c:numRef>
              <c:f>Planning!$E$39:$BX$39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</c:v>
                </c:pt>
                <c:pt idx="8">
                  <c:v>46</c:v>
                </c:pt>
                <c:pt idx="9">
                  <c:v>46</c:v>
                </c:pt>
                <c:pt idx="10">
                  <c:v>46</c:v>
                </c:pt>
                <c:pt idx="11">
                  <c:v>46</c:v>
                </c:pt>
                <c:pt idx="12">
                  <c:v>78</c:v>
                </c:pt>
                <c:pt idx="13">
                  <c:v>120</c:v>
                </c:pt>
                <c:pt idx="14">
                  <c:v>120</c:v>
                </c:pt>
                <c:pt idx="15">
                  <c:v>134</c:v>
                </c:pt>
                <c:pt idx="16">
                  <c:v>164</c:v>
                </c:pt>
                <c:pt idx="17">
                  <c:v>164</c:v>
                </c:pt>
                <c:pt idx="18">
                  <c:v>164</c:v>
                </c:pt>
                <c:pt idx="19">
                  <c:v>206</c:v>
                </c:pt>
                <c:pt idx="20">
                  <c:v>222</c:v>
                </c:pt>
                <c:pt idx="21">
                  <c:v>272</c:v>
                </c:pt>
                <c:pt idx="22">
                  <c:v>272</c:v>
                </c:pt>
                <c:pt idx="23">
                  <c:v>272</c:v>
                </c:pt>
                <c:pt idx="24">
                  <c:v>272</c:v>
                </c:pt>
                <c:pt idx="25">
                  <c:v>272</c:v>
                </c:pt>
                <c:pt idx="26">
                  <c:v>283</c:v>
                </c:pt>
                <c:pt idx="27">
                  <c:v>297</c:v>
                </c:pt>
                <c:pt idx="28">
                  <c:v>313</c:v>
                </c:pt>
                <c:pt idx="29">
                  <c:v>355</c:v>
                </c:pt>
                <c:pt idx="30">
                  <c:v>355</c:v>
                </c:pt>
                <c:pt idx="31">
                  <c:v>355</c:v>
                </c:pt>
                <c:pt idx="32">
                  <c:v>355</c:v>
                </c:pt>
                <c:pt idx="33">
                  <c:v>355</c:v>
                </c:pt>
                <c:pt idx="34">
                  <c:v>355</c:v>
                </c:pt>
                <c:pt idx="35">
                  <c:v>397</c:v>
                </c:pt>
                <c:pt idx="36">
                  <c:v>413</c:v>
                </c:pt>
                <c:pt idx="37">
                  <c:v>413</c:v>
                </c:pt>
                <c:pt idx="38">
                  <c:v>413</c:v>
                </c:pt>
                <c:pt idx="39">
                  <c:v>413</c:v>
                </c:pt>
                <c:pt idx="40">
                  <c:v>413</c:v>
                </c:pt>
                <c:pt idx="41">
                  <c:v>413</c:v>
                </c:pt>
                <c:pt idx="42">
                  <c:v>413</c:v>
                </c:pt>
                <c:pt idx="43">
                  <c:v>413</c:v>
                </c:pt>
                <c:pt idx="44">
                  <c:v>413</c:v>
                </c:pt>
                <c:pt idx="45">
                  <c:v>413</c:v>
                </c:pt>
                <c:pt idx="46">
                  <c:v>413</c:v>
                </c:pt>
                <c:pt idx="47">
                  <c:v>413</c:v>
                </c:pt>
                <c:pt idx="48">
                  <c:v>413</c:v>
                </c:pt>
                <c:pt idx="49">
                  <c:v>413</c:v>
                </c:pt>
                <c:pt idx="50">
                  <c:v>413</c:v>
                </c:pt>
                <c:pt idx="51">
                  <c:v>413</c:v>
                </c:pt>
                <c:pt idx="52">
                  <c:v>413</c:v>
                </c:pt>
                <c:pt idx="53">
                  <c:v>413</c:v>
                </c:pt>
                <c:pt idx="54">
                  <c:v>413</c:v>
                </c:pt>
                <c:pt idx="55">
                  <c:v>413</c:v>
                </c:pt>
                <c:pt idx="56">
                  <c:v>413</c:v>
                </c:pt>
                <c:pt idx="57">
                  <c:v>413</c:v>
                </c:pt>
                <c:pt idx="58">
                  <c:v>413</c:v>
                </c:pt>
                <c:pt idx="59">
                  <c:v>413</c:v>
                </c:pt>
                <c:pt idx="60">
                  <c:v>413</c:v>
                </c:pt>
                <c:pt idx="61">
                  <c:v>413</c:v>
                </c:pt>
                <c:pt idx="62">
                  <c:v>413</c:v>
                </c:pt>
                <c:pt idx="63">
                  <c:v>413</c:v>
                </c:pt>
                <c:pt idx="64">
                  <c:v>413</c:v>
                </c:pt>
                <c:pt idx="65">
                  <c:v>413</c:v>
                </c:pt>
                <c:pt idx="66">
                  <c:v>413</c:v>
                </c:pt>
                <c:pt idx="67">
                  <c:v>413</c:v>
                </c:pt>
                <c:pt idx="68">
                  <c:v>413</c:v>
                </c:pt>
                <c:pt idx="69">
                  <c:v>413</c:v>
                </c:pt>
                <c:pt idx="70">
                  <c:v>413</c:v>
                </c:pt>
                <c:pt idx="71">
                  <c:v>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065-4552-B481-05C4FCC265B2}"/>
            </c:ext>
          </c:extLst>
        </c:ser>
        <c:ser>
          <c:idx val="3"/>
          <c:order val="4"/>
          <c:tx>
            <c:v>Done</c:v>
          </c:tx>
          <c:marker>
            <c:symbol val="none"/>
          </c:marker>
          <c:dLbls>
            <c:delete val="1"/>
          </c:dLbls>
          <c:cat>
            <c:multiLvlStrRef>
              <c:f>Planning!#REF!</c:f>
            </c:multiLvlStrRef>
          </c:cat>
          <c:val>
            <c:numRef>
              <c:f>Planning!$E$40:$BX$40</c:f>
              <c:numCache>
                <c:formatCode>General</c:formatCode>
                <c:ptCount val="7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065-4552-B481-05C4FCC265B2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09855440"/>
        <c:axId val="209855832"/>
      </c:lineChart>
      <c:catAx>
        <c:axId val="2098554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pt-BR"/>
          </a:p>
        </c:txPr>
        <c:crossAx val="209855832"/>
        <c:crosses val="autoZero"/>
        <c:auto val="0"/>
        <c:lblAlgn val="ctr"/>
        <c:lblOffset val="100"/>
        <c:tickMarkSkip val="1"/>
        <c:noMultiLvlLbl val="0"/>
      </c:catAx>
      <c:valAx>
        <c:axId val="209855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9855440"/>
        <c:crosses val="autoZero"/>
        <c:crossBetween val="between"/>
      </c:valAx>
      <c:dTable>
        <c:showHorzBorder val="1"/>
        <c:showVertBorder val="1"/>
        <c:showOutline val="1"/>
        <c:showKeys val="1"/>
      </c:dTable>
      <c:spPr>
        <a:noFill/>
        <a:ln>
          <a:noFill/>
        </a:ln>
      </c:spPr>
    </c:plotArea>
    <c:legend>
      <c:legendPos val="t"/>
      <c:layout>
        <c:manualLayout>
          <c:xMode val="edge"/>
          <c:yMode val="edge"/>
          <c:x val="0.27141791410996063"/>
          <c:y val="1.494957994194525E-3"/>
          <c:w val="0.46991979552175211"/>
          <c:h val="4.0955660340307121E-2"/>
        </c:manualLayout>
      </c:layout>
      <c:overlay val="0"/>
      <c:txPr>
        <a:bodyPr/>
        <a:lstStyle/>
        <a:p>
          <a:pPr>
            <a:defRPr sz="1600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>
      <a:outerShdw blurRad="50800" dist="38100" dir="2400000" algn="l" rotWithShape="0">
        <a:srgbClr val="002060">
          <a:alpha val="40000"/>
        </a:srgbClr>
      </a:outerShdw>
      <a:softEdge rad="63500"/>
    </a:effectLst>
  </c:spPr>
  <c:txPr>
    <a:bodyPr/>
    <a:lstStyle/>
    <a:p>
      <a:pPr>
        <a:defRPr sz="1000">
          <a:latin typeface="Segoe UI" panose="020B0502040204020203" pitchFamily="34" charset="0"/>
          <a:cs typeface="Segoe UI" panose="020B0502040204020203" pitchFamily="34" charset="0"/>
        </a:defRPr>
      </a:pPr>
      <a:endParaRPr lang="pt-BR"/>
    </a:p>
  </c:txPr>
  <c:printSettings>
    <c:headerFooter/>
    <c:pageMargins b="0" l="0" r="0" t="0" header="0" footer="0"/>
    <c:pageSetup paperSize="9" orientation="landscape"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325278116522733E-2"/>
          <c:y val="9.6298544741817413E-2"/>
          <c:w val="0.95950785919177095"/>
          <c:h val="0.55025999920743529"/>
        </c:manualLayout>
      </c:layout>
      <c:lineChart>
        <c:grouping val="standard"/>
        <c:varyColors val="0"/>
        <c:ser>
          <c:idx val="10"/>
          <c:order val="0"/>
          <c:tx>
            <c:v>Total Backlog</c:v>
          </c:tx>
          <c:marker>
            <c:symbol val="none"/>
          </c:marker>
          <c:val>
            <c:numRef>
              <c:f>Planning!#REF!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Planning!#REF!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2847-44F5-8D8A-DA402D5A191C}"/>
            </c:ext>
          </c:extLst>
        </c:ser>
        <c:ser>
          <c:idx val="0"/>
          <c:order val="1"/>
          <c:tx>
            <c:v>Dev Plan</c:v>
          </c:tx>
          <c:marker>
            <c:symbol val="none"/>
          </c:marker>
          <c:val>
            <c:numRef>
              <c:f>Planning!#REF!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Planning!#REF!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2847-44F5-8D8A-DA402D5A191C}"/>
            </c:ext>
          </c:extLst>
        </c:ser>
        <c:ser>
          <c:idx val="1"/>
          <c:order val="2"/>
          <c:tx>
            <c:v>Dev Done</c:v>
          </c:tx>
          <c:marker>
            <c:symbol val="none"/>
          </c:marker>
          <c:val>
            <c:numRef>
              <c:f>Planning!#REF!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Planning!#REF!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2847-44F5-8D8A-DA402D5A191C}"/>
            </c:ext>
          </c:extLst>
        </c:ser>
        <c:ser>
          <c:idx val="2"/>
          <c:order val="3"/>
          <c:tx>
            <c:v>Planejado</c:v>
          </c:tx>
          <c:marker>
            <c:symbol val="none"/>
          </c:marker>
          <c:val>
            <c:numRef>
              <c:f>Planning!#REF!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Planning!#REF!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2847-44F5-8D8A-DA402D5A191C}"/>
            </c:ext>
          </c:extLst>
        </c:ser>
        <c:ser>
          <c:idx val="3"/>
          <c:order val="4"/>
          <c:tx>
            <c:v>Done</c:v>
          </c:tx>
          <c:marker>
            <c:symbol val="none"/>
          </c:marker>
          <c:val>
            <c:numRef>
              <c:f>Planning!#REF!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Planning!#REF!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2847-44F5-8D8A-DA402D5A19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55440"/>
        <c:axId val="209855832"/>
      </c:lineChart>
      <c:catAx>
        <c:axId val="2098554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 anchor="ctr" anchorCtr="0"/>
          <a:lstStyle/>
          <a:p>
            <a:pPr>
              <a:defRPr sz="1000" b="1"/>
            </a:pPr>
            <a:endParaRPr lang="pt-BR"/>
          </a:p>
        </c:txPr>
        <c:crossAx val="209855832"/>
        <c:crosses val="autoZero"/>
        <c:auto val="1"/>
        <c:lblAlgn val="ctr"/>
        <c:lblOffset val="100"/>
        <c:noMultiLvlLbl val="0"/>
      </c:catAx>
      <c:valAx>
        <c:axId val="209855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9855440"/>
        <c:crossesAt val="1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2683851406216971"/>
          <c:y val="6.8766518177914683E-3"/>
          <c:w val="0.46991979552175211"/>
          <c:h val="0.10330391534173801"/>
        </c:manualLayout>
      </c:layout>
      <c:overlay val="0"/>
      <c:txPr>
        <a:bodyPr/>
        <a:lstStyle/>
        <a:p>
          <a:pPr>
            <a:defRPr sz="1600" b="1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>
      <a:outerShdw blurRad="50800" dist="38100" dir="2400000" algn="l" rotWithShape="0">
        <a:srgbClr val="002060">
          <a:alpha val="40000"/>
        </a:srgbClr>
      </a:outerShdw>
      <a:softEdge rad="63500"/>
    </a:effectLst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pt-BR"/>
    </a:p>
  </c:txPr>
  <c:printSettings>
    <c:headerFooter/>
    <c:pageMargins b="0" l="0" r="0" t="0" header="0" footer="0"/>
    <c:pageSetup paperSize="9"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325278116522733E-2"/>
          <c:y val="9.6298544741817413E-2"/>
          <c:w val="0.95950785919177095"/>
          <c:h val="0.55025999920743529"/>
        </c:manualLayout>
      </c:layout>
      <c:lineChart>
        <c:grouping val="standard"/>
        <c:varyColors val="0"/>
        <c:ser>
          <c:idx val="10"/>
          <c:order val="0"/>
          <c:tx>
            <c:v>Total Backlog</c:v>
          </c:tx>
          <c:marker>
            <c:symbol val="none"/>
          </c:marker>
          <c:val>
            <c:numRef>
              <c:f>Planning!#REF!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Planning!#REF!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4912-4DD2-94FF-0FD60A63FE5C}"/>
            </c:ext>
          </c:extLst>
        </c:ser>
        <c:ser>
          <c:idx val="0"/>
          <c:order val="1"/>
          <c:tx>
            <c:v>Dev Plan</c:v>
          </c:tx>
          <c:marker>
            <c:symbol val="none"/>
          </c:marker>
          <c:val>
            <c:numRef>
              <c:f>Planning!#REF!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Planning!#REF!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4912-4DD2-94FF-0FD60A63FE5C}"/>
            </c:ext>
          </c:extLst>
        </c:ser>
        <c:ser>
          <c:idx val="1"/>
          <c:order val="2"/>
          <c:tx>
            <c:v>Dev Done</c:v>
          </c:tx>
          <c:marker>
            <c:symbol val="none"/>
          </c:marker>
          <c:val>
            <c:numRef>
              <c:f>Planning!#REF!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Planning!#REF!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4912-4DD2-94FF-0FD60A63FE5C}"/>
            </c:ext>
          </c:extLst>
        </c:ser>
        <c:ser>
          <c:idx val="2"/>
          <c:order val="3"/>
          <c:tx>
            <c:v>Planejado</c:v>
          </c:tx>
          <c:marker>
            <c:symbol val="none"/>
          </c:marker>
          <c:val>
            <c:numRef>
              <c:f>Planning!#REF!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Planning!#REF!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4912-4DD2-94FF-0FD60A63FE5C}"/>
            </c:ext>
          </c:extLst>
        </c:ser>
        <c:ser>
          <c:idx val="3"/>
          <c:order val="4"/>
          <c:tx>
            <c:v>Done</c:v>
          </c:tx>
          <c:marker>
            <c:symbol val="none"/>
          </c:marker>
          <c:val>
            <c:numRef>
              <c:f>Planning!#REF!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Planning!#REF!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4912-4DD2-94FF-0FD60A63FE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55440"/>
        <c:axId val="209855832"/>
      </c:lineChart>
      <c:catAx>
        <c:axId val="2098554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 anchor="ctr" anchorCtr="0"/>
          <a:lstStyle/>
          <a:p>
            <a:pPr>
              <a:defRPr sz="1000" b="1"/>
            </a:pPr>
            <a:endParaRPr lang="pt-BR"/>
          </a:p>
        </c:txPr>
        <c:crossAx val="209855832"/>
        <c:crosses val="autoZero"/>
        <c:auto val="1"/>
        <c:lblAlgn val="ctr"/>
        <c:lblOffset val="100"/>
        <c:noMultiLvlLbl val="0"/>
      </c:catAx>
      <c:valAx>
        <c:axId val="209855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9855440"/>
        <c:crossesAt val="1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2683851406216971"/>
          <c:y val="6.8766518177914683E-3"/>
          <c:w val="0.46991979552175211"/>
          <c:h val="0.10330391534173801"/>
        </c:manualLayout>
      </c:layout>
      <c:overlay val="0"/>
      <c:txPr>
        <a:bodyPr/>
        <a:lstStyle/>
        <a:p>
          <a:pPr>
            <a:defRPr sz="1600" b="1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>
      <a:outerShdw blurRad="50800" dist="38100" dir="2400000" algn="l" rotWithShape="0">
        <a:srgbClr val="002060">
          <a:alpha val="40000"/>
        </a:srgbClr>
      </a:outerShdw>
      <a:softEdge rad="63500"/>
    </a:effectLst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pt-BR"/>
    </a:p>
  </c:txPr>
  <c:printSettings>
    <c:headerFooter/>
    <c:pageMargins b="0" l="0" r="0" t="0" header="0" footer="0"/>
    <c:pageSetup paperSize="9"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325278116522733E-2"/>
          <c:y val="9.6298544741817413E-2"/>
          <c:w val="0.95950785919177095"/>
          <c:h val="0.55025999920743529"/>
        </c:manualLayout>
      </c:layout>
      <c:lineChart>
        <c:grouping val="standard"/>
        <c:varyColors val="0"/>
        <c:ser>
          <c:idx val="10"/>
          <c:order val="0"/>
          <c:tx>
            <c:v>Total Backlog</c:v>
          </c:tx>
          <c:marker>
            <c:symbol val="none"/>
          </c:marker>
          <c:val>
            <c:numRef>
              <c:f>Planning!#REF!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Planning!#REF!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BBFC-4F7B-BFFD-9D19C35161E3}"/>
            </c:ext>
          </c:extLst>
        </c:ser>
        <c:ser>
          <c:idx val="0"/>
          <c:order val="1"/>
          <c:tx>
            <c:v>Dev Plan</c:v>
          </c:tx>
          <c:marker>
            <c:symbol val="none"/>
          </c:marker>
          <c:val>
            <c:numRef>
              <c:f>Planning!#REF!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Planning!#REF!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1-BBFC-4F7B-BFFD-9D19C35161E3}"/>
            </c:ext>
          </c:extLst>
        </c:ser>
        <c:ser>
          <c:idx val="1"/>
          <c:order val="2"/>
          <c:tx>
            <c:v>Dev Done</c:v>
          </c:tx>
          <c:marker>
            <c:symbol val="none"/>
          </c:marker>
          <c:val>
            <c:numRef>
              <c:f>Planning!#REF!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Planning!#REF!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2-BBFC-4F7B-BFFD-9D19C35161E3}"/>
            </c:ext>
          </c:extLst>
        </c:ser>
        <c:ser>
          <c:idx val="2"/>
          <c:order val="3"/>
          <c:tx>
            <c:v>Planejado</c:v>
          </c:tx>
          <c:marker>
            <c:symbol val="none"/>
          </c:marker>
          <c:val>
            <c:numRef>
              <c:f>Planning!#REF!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Planning!#REF!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3-BBFC-4F7B-BFFD-9D19C35161E3}"/>
            </c:ext>
          </c:extLst>
        </c:ser>
        <c:ser>
          <c:idx val="3"/>
          <c:order val="4"/>
          <c:tx>
            <c:v>Done</c:v>
          </c:tx>
          <c:marker>
            <c:symbol val="none"/>
          </c:marker>
          <c:val>
            <c:numRef>
              <c:f>Planning!#REF!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Planning!#REF!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4-BBFC-4F7B-BFFD-9D19C35161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9855440"/>
        <c:axId val="209855832"/>
      </c:lineChart>
      <c:catAx>
        <c:axId val="209855440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txPr>
          <a:bodyPr rot="-5400000" vert="horz" anchor="ctr" anchorCtr="0"/>
          <a:lstStyle/>
          <a:p>
            <a:pPr>
              <a:defRPr sz="1000" b="1"/>
            </a:pPr>
            <a:endParaRPr lang="pt-BR"/>
          </a:p>
        </c:txPr>
        <c:crossAx val="209855832"/>
        <c:crosses val="autoZero"/>
        <c:auto val="1"/>
        <c:lblAlgn val="ctr"/>
        <c:lblOffset val="100"/>
        <c:noMultiLvlLbl val="0"/>
      </c:catAx>
      <c:valAx>
        <c:axId val="20985583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crossAx val="209855440"/>
        <c:crossesAt val="1"/>
        <c:crossBetween val="between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0.2683851406216971"/>
          <c:y val="6.8766518177914683E-3"/>
          <c:w val="0.46991979552175211"/>
          <c:h val="0.10330391534173801"/>
        </c:manualLayout>
      </c:layout>
      <c:overlay val="0"/>
      <c:txPr>
        <a:bodyPr/>
        <a:lstStyle/>
        <a:p>
          <a:pPr>
            <a:defRPr sz="1600" b="1"/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>
      <a:outerShdw blurRad="50800" dist="38100" dir="2400000" algn="l" rotWithShape="0">
        <a:srgbClr val="002060">
          <a:alpha val="40000"/>
        </a:srgbClr>
      </a:outerShdw>
      <a:softEdge rad="63500"/>
    </a:effectLst>
  </c:spPr>
  <c:txPr>
    <a:bodyPr/>
    <a:lstStyle/>
    <a:p>
      <a:pPr>
        <a:defRPr sz="800">
          <a:latin typeface="Segoe UI" panose="020B0502040204020203" pitchFamily="34" charset="0"/>
          <a:cs typeface="Segoe UI" panose="020B0502040204020203" pitchFamily="34" charset="0"/>
        </a:defRPr>
      </a:pPr>
      <a:endParaRPr lang="pt-BR"/>
    </a:p>
  </c:txPr>
  <c:printSettings>
    <c:headerFooter/>
    <c:pageMargins b="0" l="0" r="0" t="0" header="0" footer="0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13" Type="http://schemas.openxmlformats.org/officeDocument/2006/relationships/image" Target="../media/image6.jpg"/><Relationship Id="rId18" Type="http://schemas.openxmlformats.org/officeDocument/2006/relationships/image" Target="../media/image9.png"/><Relationship Id="rId3" Type="http://schemas.openxmlformats.org/officeDocument/2006/relationships/hyperlink" Target="#Feriados!A1"/><Relationship Id="rId7" Type="http://schemas.openxmlformats.org/officeDocument/2006/relationships/hyperlink" Target="#Colors!A1"/><Relationship Id="rId12" Type="http://schemas.openxmlformats.org/officeDocument/2006/relationships/hyperlink" Target="#Backlog!A1"/><Relationship Id="rId17" Type="http://schemas.openxmlformats.org/officeDocument/2006/relationships/image" Target="../media/image8.jpeg"/><Relationship Id="rId2" Type="http://schemas.openxmlformats.org/officeDocument/2006/relationships/image" Target="../media/image1.png"/><Relationship Id="rId16" Type="http://schemas.openxmlformats.org/officeDocument/2006/relationships/hyperlink" Target="#Planning!A1"/><Relationship Id="rId20" Type="http://schemas.openxmlformats.org/officeDocument/2006/relationships/image" Target="../media/image10.png"/><Relationship Id="rId1" Type="http://schemas.openxmlformats.org/officeDocument/2006/relationships/hyperlink" Target="#CalendarioRelease!A1"/><Relationship Id="rId6" Type="http://schemas.openxmlformats.org/officeDocument/2006/relationships/image" Target="../media/image3.png"/><Relationship Id="rId11" Type="http://schemas.openxmlformats.org/officeDocument/2006/relationships/hyperlink" Target="#KanbanBoard!L1C1"/><Relationship Id="rId5" Type="http://schemas.openxmlformats.org/officeDocument/2006/relationships/hyperlink" Target="#Parametros!A1"/><Relationship Id="rId15" Type="http://schemas.openxmlformats.org/officeDocument/2006/relationships/image" Target="../media/image7.jpeg"/><Relationship Id="rId10" Type="http://schemas.openxmlformats.org/officeDocument/2006/relationships/image" Target="../media/image5.png"/><Relationship Id="rId19" Type="http://schemas.openxmlformats.org/officeDocument/2006/relationships/hyperlink" Target="#Dashboard!A1"/><Relationship Id="rId4" Type="http://schemas.openxmlformats.org/officeDocument/2006/relationships/image" Target="../media/image2.png"/><Relationship Id="rId9" Type="http://schemas.openxmlformats.org/officeDocument/2006/relationships/hyperlink" Target="#Squad!A1"/><Relationship Id="rId14" Type="http://schemas.openxmlformats.org/officeDocument/2006/relationships/hyperlink" Target="#DataTarefas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hyperlink" Target="#Home!A1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Home!A1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hyperlink" Target="#KanbanBoard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Home!A1"/><Relationship Id="rId1" Type="http://schemas.openxmlformats.org/officeDocument/2006/relationships/chart" Target="../charts/chart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Home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hyperlink" Target="#Planning!A1"/><Relationship Id="rId1" Type="http://schemas.openxmlformats.org/officeDocument/2006/relationships/hyperlink" Target="#Home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hyperlink" Target="#DataTarefas!A1"/><Relationship Id="rId1" Type="http://schemas.openxmlformats.org/officeDocument/2006/relationships/hyperlink" Target="#Home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hyperlink" Target="#LayoutCardKanban!A1"/><Relationship Id="rId1" Type="http://schemas.openxmlformats.org/officeDocument/2006/relationships/hyperlink" Target="#Home!A1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271649</xdr:colOff>
      <xdr:row>2</xdr:row>
      <xdr:rowOff>456333</xdr:rowOff>
    </xdr:from>
    <xdr:to>
      <xdr:col>13</xdr:col>
      <xdr:colOff>281173</xdr:colOff>
      <xdr:row>15</xdr:row>
      <xdr:rowOff>122958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243824" y="1685058"/>
          <a:ext cx="2447924" cy="2600325"/>
          <a:chOff x="4868141" y="1562100"/>
          <a:chExt cx="2434070" cy="2600325"/>
        </a:xfrm>
      </xdr:grpSpPr>
      <xdr:sp macro="" textlink="">
        <xdr:nvSpPr>
          <xdr:cNvPr id="262" name="Retângulo Arredondado 261">
            <a:extLst>
              <a:ext uri="{FF2B5EF4-FFF2-40B4-BE49-F238E27FC236}">
                <a16:creationId xmlns:a16="http://schemas.microsoft.com/office/drawing/2014/main" id="{00000000-0008-0000-0000-000006010000}"/>
              </a:ext>
            </a:extLst>
          </xdr:cNvPr>
          <xdr:cNvSpPr/>
        </xdr:nvSpPr>
        <xdr:spPr>
          <a:xfrm>
            <a:off x="4868141" y="1562100"/>
            <a:ext cx="2434070" cy="2600325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7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500">
                <a:latin typeface="Arial" panose="020B0604020202020204" pitchFamily="34" charset="0"/>
                <a:cs typeface="Arial" panose="020B0604020202020204" pitchFamily="34" charset="0"/>
              </a:rPr>
              <a:t>Calendários</a:t>
            </a:r>
          </a:p>
        </xdr:txBody>
      </xdr:sp>
      <xdr:grpSp>
        <xdr:nvGrpSpPr>
          <xdr:cNvPr id="339" name="Agrupar 338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53010000}"/>
              </a:ext>
            </a:extLst>
          </xdr:cNvPr>
          <xdr:cNvGrpSpPr/>
        </xdr:nvGrpSpPr>
        <xdr:grpSpPr>
          <a:xfrm>
            <a:off x="5449166" y="3067050"/>
            <a:ext cx="1256434" cy="935134"/>
            <a:chOff x="5476875" y="2705100"/>
            <a:chExt cx="1266825" cy="935134"/>
          </a:xfrm>
        </xdr:grpSpPr>
        <xdr:sp macro="" textlink="">
          <xdr:nvSpPr>
            <xdr:cNvPr id="260" name="Elipse 259">
              <a:extLst>
                <a:ext uri="{FF2B5EF4-FFF2-40B4-BE49-F238E27FC236}">
                  <a16:creationId xmlns:a16="http://schemas.microsoft.com/office/drawing/2014/main" id="{00000000-0008-0000-0000-000004010000}"/>
                </a:ext>
              </a:extLst>
            </xdr:cNvPr>
            <xdr:cNvSpPr/>
          </xdr:nvSpPr>
          <xdr:spPr>
            <a:xfrm>
              <a:off x="5743575" y="2705100"/>
              <a:ext cx="742950" cy="704850"/>
            </a:xfrm>
            <a:prstGeom prst="ellipse">
              <a:avLst/>
            </a:prstGeom>
            <a:solidFill>
              <a:schemeClr val="accent1">
                <a:lumMod val="5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261" name="Imagem 260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000-000005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5876925" y="2847975"/>
              <a:ext cx="466114" cy="466114"/>
            </a:xfrm>
            <a:prstGeom prst="rect">
              <a:avLst/>
            </a:prstGeom>
          </xdr:spPr>
        </xdr:pic>
        <xdr:sp macro="" textlink="">
          <xdr:nvSpPr>
            <xdr:cNvPr id="259" name="CaixaDeTexto 258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000-000003010000}"/>
                </a:ext>
              </a:extLst>
            </xdr:cNvPr>
            <xdr:cNvSpPr txBox="1"/>
          </xdr:nvSpPr>
          <xdr:spPr>
            <a:xfrm>
              <a:off x="5476875" y="3400425"/>
              <a:ext cx="12668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t">
              <a:noAutofit/>
            </a:bodyPr>
            <a:lstStyle/>
            <a:p>
              <a:pPr algn="ctr"/>
              <a:r>
                <a:rPr lang="pt-BR" sz="1000" b="1" i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Releases</a:t>
              </a:r>
              <a:endParaRPr lang="pt-BR" sz="1000" b="1" i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grpSp>
        <xdr:nvGrpSpPr>
          <xdr:cNvPr id="279" name="Agrupar 27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17010000}"/>
              </a:ext>
            </a:extLst>
          </xdr:cNvPr>
          <xdr:cNvGrpSpPr/>
        </xdr:nvGrpSpPr>
        <xdr:grpSpPr>
          <a:xfrm>
            <a:off x="5626677" y="2057400"/>
            <a:ext cx="915499" cy="916749"/>
            <a:chOff x="5276850" y="57150"/>
            <a:chExt cx="890244" cy="897034"/>
          </a:xfrm>
        </xdr:grpSpPr>
        <xdr:grpSp>
          <xdr:nvGrpSpPr>
            <xdr:cNvPr id="280" name="Agrupar 279">
              <a:extLst>
                <a:ext uri="{FF2B5EF4-FFF2-40B4-BE49-F238E27FC236}">
                  <a16:creationId xmlns:a16="http://schemas.microsoft.com/office/drawing/2014/main" id="{00000000-0008-0000-0000-000018010000}"/>
                </a:ext>
              </a:extLst>
            </xdr:cNvPr>
            <xdr:cNvGrpSpPr/>
          </xdr:nvGrpSpPr>
          <xdr:grpSpPr>
            <a:xfrm>
              <a:off x="5334000" y="57150"/>
              <a:ext cx="742950" cy="704850"/>
              <a:chOff x="4819650" y="2124075"/>
              <a:chExt cx="742950" cy="704850"/>
            </a:xfrm>
          </xdr:grpSpPr>
          <xdr:sp macro="" textlink="">
            <xdr:nvSpPr>
              <xdr:cNvPr id="282" name="Elipse 281">
                <a:extLst>
                  <a:ext uri="{FF2B5EF4-FFF2-40B4-BE49-F238E27FC236}">
                    <a16:creationId xmlns:a16="http://schemas.microsoft.com/office/drawing/2014/main" id="{00000000-0008-0000-0000-00001A010000}"/>
                  </a:ext>
                </a:extLst>
              </xdr:cNvPr>
              <xdr:cNvSpPr/>
            </xdr:nvSpPr>
            <xdr:spPr>
              <a:xfrm>
                <a:off x="4819650" y="2124075"/>
                <a:ext cx="742950" cy="704850"/>
              </a:xfrm>
              <a:prstGeom prst="ellipse">
                <a:avLst/>
              </a:prstGeom>
              <a:solidFill>
                <a:schemeClr val="accent1">
                  <a:lumMod val="5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pic>
            <xdr:nvPicPr>
              <xdr:cNvPr id="283" name="Imagem 282">
                <a:extLst>
                  <a:ext uri="{FF2B5EF4-FFF2-40B4-BE49-F238E27FC236}">
                    <a16:creationId xmlns:a16="http://schemas.microsoft.com/office/drawing/2014/main" id="{00000000-0008-0000-0000-00001B01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4" cstate="print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tretch>
                <a:fillRect/>
              </a:stretch>
            </xdr:blipFill>
            <xdr:spPr>
              <a:xfrm>
                <a:off x="4953001" y="2238376"/>
                <a:ext cx="495299" cy="495299"/>
              </a:xfrm>
              <a:prstGeom prst="rect">
                <a:avLst/>
              </a:prstGeom>
            </xdr:spPr>
          </xdr:pic>
        </xdr:grpSp>
        <xdr:sp macro="" textlink="">
          <xdr:nvSpPr>
            <xdr:cNvPr id="281" name="CaixaDeTexto 280">
              <a:extLst>
                <a:ext uri="{FF2B5EF4-FFF2-40B4-BE49-F238E27FC236}">
                  <a16:creationId xmlns:a16="http://schemas.microsoft.com/office/drawing/2014/main" id="{00000000-0008-0000-0000-000019010000}"/>
                </a:ext>
              </a:extLst>
            </xdr:cNvPr>
            <xdr:cNvSpPr txBox="1"/>
          </xdr:nvSpPr>
          <xdr:spPr>
            <a:xfrm>
              <a:off x="5276850" y="714375"/>
              <a:ext cx="890244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pt-BR" sz="1000" b="1" i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Feriados</a:t>
              </a:r>
            </a:p>
          </xdr:txBody>
        </xdr:sp>
      </xdr:grpSp>
    </xdr:grpSp>
    <xdr:clientData/>
  </xdr:twoCellAnchor>
  <xdr:twoCellAnchor>
    <xdr:from>
      <xdr:col>0</xdr:col>
      <xdr:colOff>514350</xdr:colOff>
      <xdr:row>2</xdr:row>
      <xdr:rowOff>437283</xdr:rowOff>
    </xdr:from>
    <xdr:to>
      <xdr:col>3</xdr:col>
      <xdr:colOff>571500</xdr:colOff>
      <xdr:row>15</xdr:row>
      <xdr:rowOff>161057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514350" y="1666008"/>
          <a:ext cx="2371725" cy="2657474"/>
          <a:chOff x="816489" y="1533525"/>
          <a:chExt cx="2482003" cy="2657474"/>
        </a:xfrm>
      </xdr:grpSpPr>
      <xdr:grpSp>
        <xdr:nvGrpSpPr>
          <xdr:cNvPr id="290" name="Agrupar 289">
            <a:extLst>
              <a:ext uri="{FF2B5EF4-FFF2-40B4-BE49-F238E27FC236}">
                <a16:creationId xmlns:a16="http://schemas.microsoft.com/office/drawing/2014/main" id="{00000000-0008-0000-0000-000022010000}"/>
              </a:ext>
            </a:extLst>
          </xdr:cNvPr>
          <xdr:cNvGrpSpPr/>
        </xdr:nvGrpSpPr>
        <xdr:grpSpPr>
          <a:xfrm>
            <a:off x="816489" y="1533525"/>
            <a:ext cx="2482003" cy="2657474"/>
            <a:chOff x="238431" y="1885951"/>
            <a:chExt cx="2448344" cy="2657474"/>
          </a:xfrm>
        </xdr:grpSpPr>
        <xdr:sp macro="" textlink="">
          <xdr:nvSpPr>
            <xdr:cNvPr id="210" name="Retângulo Arredondado 209">
              <a:extLst>
                <a:ext uri="{FF2B5EF4-FFF2-40B4-BE49-F238E27FC236}">
                  <a16:creationId xmlns:a16="http://schemas.microsoft.com/office/drawing/2014/main" id="{00000000-0008-0000-0000-0000D2000000}"/>
                </a:ext>
              </a:extLst>
            </xdr:cNvPr>
            <xdr:cNvSpPr/>
          </xdr:nvSpPr>
          <xdr:spPr>
            <a:xfrm>
              <a:off x="248375" y="1885951"/>
              <a:ext cx="2438400" cy="2657474"/>
            </a:xfrm>
            <a:prstGeom prst="roundRect">
              <a:avLst/>
            </a:prstGeom>
            <a:gradFill flip="none" rotWithShape="1">
              <a:gsLst>
                <a:gs pos="0">
                  <a:schemeClr val="accent5">
                    <a:lumMod val="67000"/>
                  </a:schemeClr>
                </a:gs>
                <a:gs pos="48000">
                  <a:schemeClr val="accent5">
                    <a:lumMod val="97000"/>
                    <a:lumOff val="3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500">
                  <a:latin typeface="Arial" panose="020B0604020202020204" pitchFamily="34" charset="0"/>
                  <a:cs typeface="Arial" panose="020B0604020202020204" pitchFamily="34" charset="0"/>
                </a:rPr>
                <a:t>Cadastros</a:t>
              </a:r>
            </a:p>
          </xdr:txBody>
        </xdr:sp>
        <xdr:grpSp>
          <xdr:nvGrpSpPr>
            <xdr:cNvPr id="211" name="Agrupar 210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D3000000}"/>
                </a:ext>
              </a:extLst>
            </xdr:cNvPr>
            <xdr:cNvGrpSpPr/>
          </xdr:nvGrpSpPr>
          <xdr:grpSpPr>
            <a:xfrm>
              <a:off x="1634613" y="2567778"/>
              <a:ext cx="918962" cy="868067"/>
              <a:chOff x="400050" y="1711336"/>
              <a:chExt cx="890244" cy="849401"/>
            </a:xfrm>
          </xdr:grpSpPr>
          <xdr:grpSp>
            <xdr:nvGrpSpPr>
              <xdr:cNvPr id="222" name="Agrupar 221">
                <a:extLst>
                  <a:ext uri="{FF2B5EF4-FFF2-40B4-BE49-F238E27FC236}">
                    <a16:creationId xmlns:a16="http://schemas.microsoft.com/office/drawing/2014/main" id="{00000000-0008-0000-0000-0000DE000000}"/>
                  </a:ext>
                </a:extLst>
              </xdr:cNvPr>
              <xdr:cNvGrpSpPr/>
            </xdr:nvGrpSpPr>
            <xdr:grpSpPr>
              <a:xfrm>
                <a:off x="476250" y="1711336"/>
                <a:ext cx="762000" cy="628651"/>
                <a:chOff x="8362950" y="3895929"/>
                <a:chExt cx="742950" cy="704851"/>
              </a:xfrm>
            </xdr:grpSpPr>
            <xdr:sp macro="" textlink="">
              <xdr:nvSpPr>
                <xdr:cNvPr id="224" name="Elipse 223">
                  <a:extLst>
                    <a:ext uri="{FF2B5EF4-FFF2-40B4-BE49-F238E27FC236}">
                      <a16:creationId xmlns:a16="http://schemas.microsoft.com/office/drawing/2014/main" id="{00000000-0008-0000-0000-0000E0000000}"/>
                    </a:ext>
                  </a:extLst>
                </xdr:cNvPr>
                <xdr:cNvSpPr/>
              </xdr:nvSpPr>
              <xdr:spPr>
                <a:xfrm>
                  <a:off x="8362950" y="3895929"/>
                  <a:ext cx="742950" cy="704851"/>
                </a:xfrm>
                <a:prstGeom prst="ellipse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>
              <xdr:nvPicPr>
                <xdr:cNvPr id="225" name="Imagem 224">
                  <a:extLst>
                    <a:ext uri="{FF2B5EF4-FFF2-40B4-BE49-F238E27FC236}">
                      <a16:creationId xmlns:a16="http://schemas.microsoft.com/office/drawing/2014/main" id="{00000000-0008-0000-0000-0000E1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6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8524875" y="4038796"/>
                  <a:ext cx="429306" cy="429307"/>
                </a:xfrm>
                <a:prstGeom prst="rect">
                  <a:avLst/>
                </a:prstGeom>
              </xdr:spPr>
            </xdr:pic>
          </xdr:grpSp>
          <xdr:sp macro="" textlink="">
            <xdr:nvSpPr>
              <xdr:cNvPr id="223" name="CaixaDeTexto 222">
                <a:extLst>
                  <a:ext uri="{FF2B5EF4-FFF2-40B4-BE49-F238E27FC236}">
                    <a16:creationId xmlns:a16="http://schemas.microsoft.com/office/drawing/2014/main" id="{00000000-0008-0000-0000-0000DF000000}"/>
                  </a:ext>
                </a:extLst>
              </xdr:cNvPr>
              <xdr:cNvSpPr txBox="1"/>
            </xdr:nvSpPr>
            <xdr:spPr>
              <a:xfrm>
                <a:off x="400050" y="2320928"/>
                <a:ext cx="890244" cy="23980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t">
                <a:spAutoFit/>
              </a:bodyPr>
              <a:lstStyle/>
              <a:p>
                <a:r>
                  <a:rPr lang="pt-BR" sz="1000" b="1" i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Parâmetros</a:t>
                </a:r>
              </a:p>
            </xdr:txBody>
          </xdr:sp>
        </xdr:grpSp>
        <xdr:grpSp>
          <xdr:nvGrpSpPr>
            <xdr:cNvPr id="212" name="Agrupar 21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D4000000}"/>
                </a:ext>
              </a:extLst>
            </xdr:cNvPr>
            <xdr:cNvGrpSpPr/>
          </xdr:nvGrpSpPr>
          <xdr:grpSpPr>
            <a:xfrm>
              <a:off x="238431" y="2548305"/>
              <a:ext cx="1032387" cy="916784"/>
              <a:chOff x="3914774" y="3654413"/>
              <a:chExt cx="1000125" cy="897066"/>
            </a:xfrm>
          </xdr:grpSpPr>
          <xdr:grpSp>
            <xdr:nvGrpSpPr>
              <xdr:cNvPr id="218" name="Agrupar 217">
                <a:extLst>
                  <a:ext uri="{FF2B5EF4-FFF2-40B4-BE49-F238E27FC236}">
                    <a16:creationId xmlns:a16="http://schemas.microsoft.com/office/drawing/2014/main" id="{00000000-0008-0000-0000-0000DA000000}"/>
                  </a:ext>
                </a:extLst>
              </xdr:cNvPr>
              <xdr:cNvGrpSpPr/>
            </xdr:nvGrpSpPr>
            <xdr:grpSpPr>
              <a:xfrm>
                <a:off x="4067175" y="3654413"/>
                <a:ext cx="742950" cy="704850"/>
                <a:chOff x="4067175" y="3654413"/>
                <a:chExt cx="742950" cy="704850"/>
              </a:xfrm>
            </xdr:grpSpPr>
            <xdr:sp macro="" textlink="">
              <xdr:nvSpPr>
                <xdr:cNvPr id="220" name="Elipse 219">
                  <a:extLst>
                    <a:ext uri="{FF2B5EF4-FFF2-40B4-BE49-F238E27FC236}">
                      <a16:creationId xmlns:a16="http://schemas.microsoft.com/office/drawing/2014/main" id="{00000000-0008-0000-0000-0000DC000000}"/>
                    </a:ext>
                  </a:extLst>
                </xdr:cNvPr>
                <xdr:cNvSpPr/>
              </xdr:nvSpPr>
              <xdr:spPr>
                <a:xfrm>
                  <a:off x="4067175" y="3654413"/>
                  <a:ext cx="742950" cy="704850"/>
                </a:xfrm>
                <a:prstGeom prst="ellipse">
                  <a:avLst/>
                </a:prstGeom>
                <a:solidFill>
                  <a:schemeClr val="accent1">
                    <a:lumMod val="50000"/>
                  </a:schemeClr>
                </a:solidFill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pic>
              <xdr:nvPicPr>
                <xdr:cNvPr id="221" name="Imagem 220">
                  <a:extLst>
                    <a:ext uri="{FF2B5EF4-FFF2-40B4-BE49-F238E27FC236}">
                      <a16:creationId xmlns:a16="http://schemas.microsoft.com/office/drawing/2014/main" id="{00000000-0008-0000-0000-0000DD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4193178" y="3797486"/>
                  <a:ext cx="505624" cy="437539"/>
                </a:xfrm>
                <a:prstGeom prst="rect">
                  <a:avLst/>
                </a:prstGeom>
              </xdr:spPr>
            </xdr:pic>
          </xdr:grpSp>
          <xdr:sp macro="" textlink="">
            <xdr:nvSpPr>
              <xdr:cNvPr id="219" name="CaixaDeTexto 218">
                <a:extLst>
                  <a:ext uri="{FF2B5EF4-FFF2-40B4-BE49-F238E27FC236}">
                    <a16:creationId xmlns:a16="http://schemas.microsoft.com/office/drawing/2014/main" id="{00000000-0008-0000-0000-0000DB000000}"/>
                  </a:ext>
                </a:extLst>
              </xdr:cNvPr>
              <xdr:cNvSpPr txBox="1"/>
            </xdr:nvSpPr>
            <xdr:spPr>
              <a:xfrm>
                <a:off x="3914774" y="4311670"/>
                <a:ext cx="1000125" cy="23980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pt-BR" sz="1000" b="1" i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Colors</a:t>
                </a:r>
              </a:p>
            </xdr:txBody>
          </xdr:sp>
        </xdr:grpSp>
      </xdr:grpSp>
      <xdr:grpSp>
        <xdr:nvGrpSpPr>
          <xdr:cNvPr id="289" name="Agrupar 288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21010000}"/>
              </a:ext>
            </a:extLst>
          </xdr:cNvPr>
          <xdr:cNvGrpSpPr/>
        </xdr:nvGrpSpPr>
        <xdr:grpSpPr>
          <a:xfrm>
            <a:off x="1469754" y="3138856"/>
            <a:ext cx="1025459" cy="916749"/>
            <a:chOff x="819456" y="3443656"/>
            <a:chExt cx="1032387" cy="916749"/>
          </a:xfrm>
        </xdr:grpSpPr>
        <xdr:sp macro="" textlink="">
          <xdr:nvSpPr>
            <xdr:cNvPr id="287" name="Elipse 286">
              <a:extLst>
                <a:ext uri="{FF2B5EF4-FFF2-40B4-BE49-F238E27FC236}">
                  <a16:creationId xmlns:a16="http://schemas.microsoft.com/office/drawing/2014/main" id="{00000000-0008-0000-0000-00001F010000}"/>
                </a:ext>
              </a:extLst>
            </xdr:cNvPr>
            <xdr:cNvSpPr/>
          </xdr:nvSpPr>
          <xdr:spPr>
            <a:xfrm>
              <a:off x="976773" y="3443656"/>
              <a:ext cx="766916" cy="720341"/>
            </a:xfrm>
            <a:prstGeom prst="ellipse">
              <a:avLst/>
            </a:prstGeom>
            <a:solidFill>
              <a:schemeClr val="accent1">
                <a:lumMod val="5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288" name="Imagem 287">
              <a:extLst>
                <a:ext uri="{FF2B5EF4-FFF2-40B4-BE49-F238E27FC236}">
                  <a16:creationId xmlns:a16="http://schemas.microsoft.com/office/drawing/2014/main" id="{00000000-0008-0000-0000-000020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6604" y="3599405"/>
              <a:ext cx="579795" cy="447156"/>
            </a:xfrm>
            <a:prstGeom prst="rect">
              <a:avLst/>
            </a:prstGeom>
          </xdr:spPr>
        </xdr:pic>
        <xdr:sp macro="" textlink="">
          <xdr:nvSpPr>
            <xdr:cNvPr id="286" name="CaixaDeTexto 285">
              <a:extLst>
                <a:ext uri="{FF2B5EF4-FFF2-40B4-BE49-F238E27FC236}">
                  <a16:creationId xmlns:a16="http://schemas.microsoft.com/office/drawing/2014/main" id="{00000000-0008-0000-0000-00001E010000}"/>
                </a:ext>
              </a:extLst>
            </xdr:cNvPr>
            <xdr:cNvSpPr txBox="1"/>
          </xdr:nvSpPr>
          <xdr:spPr>
            <a:xfrm>
              <a:off x="819456" y="4115325"/>
              <a:ext cx="1032387" cy="2450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pt-BR" sz="1000" b="1" i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Squads</a:t>
              </a:r>
            </a:p>
          </xdr:txBody>
        </xdr:sp>
      </xdr:grpSp>
    </xdr:grpSp>
    <xdr:clientData/>
  </xdr:twoCellAnchor>
  <xdr:twoCellAnchor>
    <xdr:from>
      <xdr:col>14</xdr:col>
      <xdr:colOff>126486</xdr:colOff>
      <xdr:row>2</xdr:row>
      <xdr:rowOff>465858</xdr:rowOff>
    </xdr:from>
    <xdr:to>
      <xdr:col>18</xdr:col>
      <xdr:colOff>50286</xdr:colOff>
      <xdr:row>15</xdr:row>
      <xdr:rowOff>132483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pSpPr/>
      </xdr:nvGrpSpPr>
      <xdr:grpSpPr>
        <a:xfrm>
          <a:off x="9146661" y="1694583"/>
          <a:ext cx="2362200" cy="2600325"/>
          <a:chOff x="8828809" y="1562100"/>
          <a:chExt cx="2348346" cy="2600325"/>
        </a:xfrm>
      </xdr:grpSpPr>
      <xdr:grpSp>
        <xdr:nvGrpSpPr>
          <xdr:cNvPr id="2" name="Agrupar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GrpSpPr/>
        </xdr:nvGrpSpPr>
        <xdr:grpSpPr>
          <a:xfrm>
            <a:off x="8828809" y="1562100"/>
            <a:ext cx="2348346" cy="2600325"/>
            <a:chOff x="8877300" y="942975"/>
            <a:chExt cx="2362200" cy="2600325"/>
          </a:xfrm>
        </xdr:grpSpPr>
        <xdr:sp macro="" textlink="">
          <xdr:nvSpPr>
            <xdr:cNvPr id="244" name="Retângulo Arredondado 243">
              <a:extLst>
                <a:ext uri="{FF2B5EF4-FFF2-40B4-BE49-F238E27FC236}">
                  <a16:creationId xmlns:a16="http://schemas.microsoft.com/office/drawing/2014/main" id="{00000000-0008-0000-0000-0000F4000000}"/>
                </a:ext>
              </a:extLst>
            </xdr:cNvPr>
            <xdr:cNvSpPr/>
          </xdr:nvSpPr>
          <xdr:spPr>
            <a:xfrm>
              <a:off x="8877300" y="942975"/>
              <a:ext cx="2362200" cy="2600325"/>
            </a:xfrm>
            <a:prstGeom prst="roundRect">
              <a:avLst/>
            </a:prstGeom>
            <a:gradFill flip="none" rotWithShape="1">
              <a:gsLst>
                <a:gs pos="0">
                  <a:schemeClr val="accent5">
                    <a:lumMod val="67000"/>
                  </a:schemeClr>
                </a:gs>
                <a:gs pos="48000">
                  <a:schemeClr val="accent5">
                    <a:lumMod val="97000"/>
                    <a:lumOff val="3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16200000" scaled="1"/>
              <a:tileRect/>
            </a:gradFill>
            <a:ln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ctr"/>
              <a:r>
                <a:rPr lang="pt-BR" sz="1500">
                  <a:latin typeface="Arial" panose="020B0604020202020204" pitchFamily="34" charset="0"/>
                  <a:cs typeface="Arial" panose="020B0604020202020204" pitchFamily="34" charset="0"/>
                </a:rPr>
                <a:t>Planejamento</a:t>
              </a:r>
            </a:p>
          </xdr:txBody>
        </xdr:sp>
        <xdr:sp macro="" textlink="">
          <xdr:nvSpPr>
            <xdr:cNvPr id="302" name="CaixaDeTexto 301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2E010000}"/>
                </a:ext>
              </a:extLst>
            </xdr:cNvPr>
            <xdr:cNvSpPr txBox="1"/>
          </xdr:nvSpPr>
          <xdr:spPr>
            <a:xfrm>
              <a:off x="10067925" y="3133725"/>
              <a:ext cx="10001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pt-BR" sz="1000" b="1" i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Quadro Kanban</a:t>
              </a:r>
            </a:p>
          </xdr:txBody>
        </xdr:sp>
      </xdr:grpSp>
      <xdr:grpSp>
        <xdr:nvGrpSpPr>
          <xdr:cNvPr id="336" name="Agrupar 335">
            <a:extLst>
              <a:ext uri="{FF2B5EF4-FFF2-40B4-BE49-F238E27FC236}">
                <a16:creationId xmlns:a16="http://schemas.microsoft.com/office/drawing/2014/main" id="{00000000-0008-0000-0000-000050010000}"/>
              </a:ext>
            </a:extLst>
          </xdr:cNvPr>
          <xdr:cNvGrpSpPr/>
        </xdr:nvGrpSpPr>
        <xdr:grpSpPr>
          <a:xfrm>
            <a:off x="8962159" y="2038350"/>
            <a:ext cx="993198" cy="887509"/>
            <a:chOff x="9010650" y="1733550"/>
            <a:chExt cx="1000125" cy="887509"/>
          </a:xfrm>
        </xdr:grpSpPr>
        <xdr:sp macro="" textlink="">
          <xdr:nvSpPr>
            <xdr:cNvPr id="318" name="Elipse 317">
              <a:extLst>
                <a:ext uri="{FF2B5EF4-FFF2-40B4-BE49-F238E27FC236}">
                  <a16:creationId xmlns:a16="http://schemas.microsoft.com/office/drawing/2014/main" id="{00000000-0008-0000-0000-00003E010000}"/>
                </a:ext>
              </a:extLst>
            </xdr:cNvPr>
            <xdr:cNvSpPr/>
          </xdr:nvSpPr>
          <xdr:spPr>
            <a:xfrm>
              <a:off x="9144000" y="1733550"/>
              <a:ext cx="742950" cy="704850"/>
            </a:xfrm>
            <a:prstGeom prst="ellipse">
              <a:avLst/>
            </a:prstGeom>
            <a:solidFill>
              <a:schemeClr val="accent1">
                <a:lumMod val="5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319" name="CaixaDeTexto 31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3F010000}"/>
                </a:ext>
              </a:extLst>
            </xdr:cNvPr>
            <xdr:cNvSpPr txBox="1"/>
          </xdr:nvSpPr>
          <xdr:spPr>
            <a:xfrm>
              <a:off x="9010650" y="2381250"/>
              <a:ext cx="10001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pt-BR" sz="1000" b="1" i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Backlog</a:t>
              </a:r>
            </a:p>
          </xdr:txBody>
        </xdr:sp>
        <xdr:pic>
          <xdr:nvPicPr>
            <xdr:cNvPr id="317" name="Imagem 31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3D01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310345" y="1828799"/>
              <a:ext cx="457881" cy="457881"/>
            </a:xfrm>
            <a:prstGeom prst="rect">
              <a:avLst/>
            </a:prstGeom>
            <a:effectLst>
              <a:glow rad="127000">
                <a:schemeClr val="accent1">
                  <a:alpha val="0"/>
                </a:schemeClr>
              </a:glow>
              <a:softEdge rad="63500"/>
            </a:effectLst>
          </xdr:spPr>
        </xdr:pic>
      </xdr:grpSp>
      <xdr:grpSp>
        <xdr:nvGrpSpPr>
          <xdr:cNvPr id="337" name="Agrupar 336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00000000-0008-0000-0000-000051010000}"/>
              </a:ext>
            </a:extLst>
          </xdr:cNvPr>
          <xdr:cNvGrpSpPr/>
        </xdr:nvGrpSpPr>
        <xdr:grpSpPr>
          <a:xfrm>
            <a:off x="9945832" y="2038350"/>
            <a:ext cx="993198" cy="887509"/>
            <a:chOff x="10001250" y="1733550"/>
            <a:chExt cx="1000125" cy="887509"/>
          </a:xfrm>
        </xdr:grpSpPr>
        <xdr:sp macro="" textlink="">
          <xdr:nvSpPr>
            <xdr:cNvPr id="249" name="Elipse 248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000-0000F9000000}"/>
                </a:ext>
              </a:extLst>
            </xdr:cNvPr>
            <xdr:cNvSpPr/>
          </xdr:nvSpPr>
          <xdr:spPr>
            <a:xfrm>
              <a:off x="10134600" y="1733550"/>
              <a:ext cx="742950" cy="704850"/>
            </a:xfrm>
            <a:prstGeom prst="ellipse">
              <a:avLst/>
            </a:prstGeom>
            <a:solidFill>
              <a:schemeClr val="accent1">
                <a:lumMod val="5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sp macro="" textlink="">
          <xdr:nvSpPr>
            <xdr:cNvPr id="250" name="CaixaDeTexto 249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000-0000FA000000}"/>
                </a:ext>
              </a:extLst>
            </xdr:cNvPr>
            <xdr:cNvSpPr txBox="1"/>
          </xdr:nvSpPr>
          <xdr:spPr>
            <a:xfrm>
              <a:off x="10001250" y="2381250"/>
              <a:ext cx="1000125" cy="23980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rtlCol="0" anchor="ctr">
              <a:noAutofit/>
            </a:bodyPr>
            <a:lstStyle/>
            <a:p>
              <a:pPr algn="ctr"/>
              <a:r>
                <a:rPr lang="pt-BR" sz="1000" b="1" i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Dat</a:t>
              </a:r>
              <a:r>
                <a:rPr lang="pt-BR" sz="1000" b="1" i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a  Tarefas</a:t>
              </a:r>
              <a:endParaRPr lang="pt-BR" sz="1000" b="1" i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>
          <xdr:nvPicPr>
            <xdr:cNvPr id="248" name="Imagem 247">
              <a:hlinkClick xmlns:r="http://schemas.openxmlformats.org/officeDocument/2006/relationships" r:id="rId14"/>
              <a:extLst>
                <a:ext uri="{FF2B5EF4-FFF2-40B4-BE49-F238E27FC236}">
                  <a16:creationId xmlns:a16="http://schemas.microsoft.com/office/drawing/2014/main" id="{00000000-0008-0000-0000-0000F8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300945" y="1828799"/>
              <a:ext cx="457881" cy="457881"/>
            </a:xfrm>
            <a:prstGeom prst="rect">
              <a:avLst/>
            </a:prstGeom>
          </xdr:spPr>
        </xdr:pic>
      </xdr:grpSp>
      <xdr:grpSp>
        <xdr:nvGrpSpPr>
          <xdr:cNvPr id="45" name="Agrupar 44">
            <a:extLst>
              <a:ext uri="{FF2B5EF4-FFF2-40B4-BE49-F238E27FC236}">
                <a16:creationId xmlns:a16="http://schemas.microsoft.com/office/drawing/2014/main" id="{00000000-0008-0000-0000-00002D000000}"/>
              </a:ext>
            </a:extLst>
          </xdr:cNvPr>
          <xdr:cNvGrpSpPr/>
        </xdr:nvGrpSpPr>
        <xdr:grpSpPr>
          <a:xfrm>
            <a:off x="9023639" y="3009900"/>
            <a:ext cx="993198" cy="974100"/>
            <a:chOff x="9500453" y="2705100"/>
            <a:chExt cx="1000125" cy="974100"/>
          </a:xfrm>
        </xdr:grpSpPr>
        <xdr:grpSp>
          <xdr:nvGrpSpPr>
            <xdr:cNvPr id="46" name="Agrupar 45">
              <a:extLst>
                <a:ext uri="{FF2B5EF4-FFF2-40B4-BE49-F238E27FC236}">
                  <a16:creationId xmlns:a16="http://schemas.microsoft.com/office/drawing/2014/main" id="{00000000-0008-0000-0000-00002E000000}"/>
                </a:ext>
              </a:extLst>
            </xdr:cNvPr>
            <xdr:cNvGrpSpPr/>
          </xdr:nvGrpSpPr>
          <xdr:grpSpPr>
            <a:xfrm>
              <a:off x="9500453" y="2705100"/>
              <a:ext cx="1000125" cy="974100"/>
              <a:chOff x="5290403" y="57150"/>
              <a:chExt cx="1000125" cy="974100"/>
            </a:xfrm>
          </xdr:grpSpPr>
          <xdr:sp macro="" textlink="">
            <xdr:nvSpPr>
              <xdr:cNvPr id="48" name="Elipse 47">
                <a:extLst>
                  <a:ext uri="{FF2B5EF4-FFF2-40B4-BE49-F238E27FC236}">
                    <a16:creationId xmlns:a16="http://schemas.microsoft.com/office/drawing/2014/main" id="{00000000-0008-0000-0000-000030000000}"/>
                  </a:ext>
                </a:extLst>
              </xdr:cNvPr>
              <xdr:cNvSpPr/>
            </xdr:nvSpPr>
            <xdr:spPr>
              <a:xfrm>
                <a:off x="5467350" y="57150"/>
                <a:ext cx="742950" cy="704850"/>
              </a:xfrm>
              <a:prstGeom prst="ellipse">
                <a:avLst/>
              </a:prstGeom>
              <a:solidFill>
                <a:schemeClr val="accent1">
                  <a:lumMod val="50000"/>
                </a:schemeClr>
              </a:solidFill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49" name="CaixaDeTexto 48">
                <a:hlinkClick xmlns:r="http://schemas.openxmlformats.org/officeDocument/2006/relationships" r:id="rId16"/>
                <a:extLst>
                  <a:ext uri="{FF2B5EF4-FFF2-40B4-BE49-F238E27FC236}">
                    <a16:creationId xmlns:a16="http://schemas.microsoft.com/office/drawing/2014/main" id="{00000000-0008-0000-0000-000031000000}"/>
                  </a:ext>
                </a:extLst>
              </xdr:cNvPr>
              <xdr:cNvSpPr txBox="1"/>
            </xdr:nvSpPr>
            <xdr:spPr>
              <a:xfrm>
                <a:off x="5290403" y="791441"/>
                <a:ext cx="1000125" cy="239809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rtlCol="0" anchor="ctr">
                <a:noAutofit/>
              </a:bodyPr>
              <a:lstStyle/>
              <a:p>
                <a:pPr algn="ctr"/>
                <a:r>
                  <a:rPr lang="pt-BR" sz="1000" b="1" i="1">
                    <a:solidFill>
                      <a:schemeClr val="bg1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t>Planning</a:t>
                </a:r>
              </a:p>
            </xdr:txBody>
          </xdr:sp>
        </xdr:grpSp>
        <xdr:pic>
          <xdr:nvPicPr>
            <xdr:cNvPr id="47" name="Imagem 46">
              <a:hlinkClick xmlns:r="http://schemas.openxmlformats.org/officeDocument/2006/relationships" r:id="rId16"/>
              <a:extLst>
                <a:ext uri="{FF2B5EF4-FFF2-40B4-BE49-F238E27FC236}">
                  <a16:creationId xmlns:a16="http://schemas.microsoft.com/office/drawing/2014/main" id="{00000000-0008-0000-0000-00002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7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843745" y="2828924"/>
              <a:ext cx="457881" cy="457881"/>
            </a:xfrm>
            <a:prstGeom prst="rect">
              <a:avLst/>
            </a:prstGeom>
          </xdr:spPr>
        </xdr:pic>
      </xdr:grpSp>
      <xdr:grpSp>
        <xdr:nvGrpSpPr>
          <xdr:cNvPr id="55" name="Agrupar 54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GrpSpPr/>
        </xdr:nvGrpSpPr>
        <xdr:grpSpPr>
          <a:xfrm>
            <a:off x="10145857" y="2990850"/>
            <a:ext cx="739486" cy="704850"/>
            <a:chOff x="8534400" y="4000500"/>
            <a:chExt cx="742950" cy="704850"/>
          </a:xfrm>
        </xdr:grpSpPr>
        <xdr:sp macro="" textlink="">
          <xdr:nvSpPr>
            <xdr:cNvPr id="56" name="Elipse 55">
              <a:extLst>
                <a:ext uri="{FF2B5EF4-FFF2-40B4-BE49-F238E27FC236}">
                  <a16:creationId xmlns:a16="http://schemas.microsoft.com/office/drawing/2014/main" id="{00000000-0008-0000-0000-000038000000}"/>
                </a:ext>
              </a:extLst>
            </xdr:cNvPr>
            <xdr:cNvSpPr/>
          </xdr:nvSpPr>
          <xdr:spPr>
            <a:xfrm>
              <a:off x="8534400" y="4000500"/>
              <a:ext cx="742950" cy="704850"/>
            </a:xfrm>
            <a:prstGeom prst="ellipse">
              <a:avLst/>
            </a:prstGeom>
            <a:solidFill>
              <a:schemeClr val="accent1">
                <a:lumMod val="50000"/>
              </a:schemeClr>
            </a:solidFill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pic>
          <xdr:nvPicPr>
            <xdr:cNvPr id="57" name="Imagem 5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39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700745" y="4124324"/>
              <a:ext cx="457881" cy="457881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4</xdr:col>
      <xdr:colOff>416812</xdr:colOff>
      <xdr:row>2</xdr:row>
      <xdr:rowOff>446808</xdr:rowOff>
    </xdr:from>
    <xdr:to>
      <xdr:col>8</xdr:col>
      <xdr:colOff>426337</xdr:colOff>
      <xdr:row>15</xdr:row>
      <xdr:rowOff>113433</xdr:rowOff>
    </xdr:to>
    <xdr:grpSp>
      <xdr:nvGrpSpPr>
        <xdr:cNvPr id="11" name="Agrupar 1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3340987" y="1675533"/>
          <a:ext cx="2447925" cy="2600325"/>
          <a:chOff x="3542308" y="1523133"/>
          <a:chExt cx="2434070" cy="2600325"/>
        </a:xfrm>
      </xdr:grpSpPr>
      <xdr:sp macro="" textlink="">
        <xdr:nvSpPr>
          <xdr:cNvPr id="53" name="Retângulo Arredondado 52">
            <a:extLst>
              <a:ext uri="{FF2B5EF4-FFF2-40B4-BE49-F238E27FC236}">
                <a16:creationId xmlns:a16="http://schemas.microsoft.com/office/drawing/2014/main" id="{00000000-0008-0000-0000-000035000000}"/>
              </a:ext>
            </a:extLst>
          </xdr:cNvPr>
          <xdr:cNvSpPr/>
        </xdr:nvSpPr>
        <xdr:spPr>
          <a:xfrm>
            <a:off x="3542308" y="1523133"/>
            <a:ext cx="2434070" cy="2600325"/>
          </a:xfrm>
          <a:prstGeom prst="roundRect">
            <a:avLst/>
          </a:prstGeom>
          <a:gradFill flip="none" rotWithShape="1">
            <a:gsLst>
              <a:gs pos="0">
                <a:schemeClr val="accent5">
                  <a:lumMod val="67000"/>
                </a:schemeClr>
              </a:gs>
              <a:gs pos="48000">
                <a:schemeClr val="accent5">
                  <a:lumMod val="97000"/>
                  <a:lumOff val="3000"/>
                </a:schemeClr>
              </a:gs>
              <a:gs pos="100000">
                <a:schemeClr val="accent5">
                  <a:lumMod val="60000"/>
                  <a:lumOff val="40000"/>
                </a:schemeClr>
              </a:gs>
            </a:gsLst>
            <a:lin ang="16200000" scaled="1"/>
            <a:tileRect/>
          </a:gradFill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pt-BR" sz="1500">
                <a:latin typeface="Arial" panose="020B0604020202020204" pitchFamily="34" charset="0"/>
                <a:cs typeface="Arial" panose="020B0604020202020204" pitchFamily="34" charset="0"/>
              </a:rPr>
              <a:t>Dashboard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67186" y="2230148"/>
            <a:ext cx="1186295" cy="118629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40050</xdr:rowOff>
    </xdr:from>
    <xdr:to>
      <xdr:col>2</xdr:col>
      <xdr:colOff>220800</xdr:colOff>
      <xdr:row>0</xdr:row>
      <xdr:rowOff>400050</xdr:rowOff>
    </xdr:to>
    <xdr:sp macro="" textlink="">
      <xdr:nvSpPr>
        <xdr:cNvPr id="4" name="Retângulo Arredondad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0" y="40050"/>
          <a:ext cx="1440000" cy="360000"/>
        </a:xfrm>
        <a:prstGeom prst="roundRect">
          <a:avLst/>
        </a:prstGeom>
        <a:gradFill flip="none" rotWithShape="1">
          <a:gsLst>
            <a:gs pos="38000">
              <a:srgbClr val="4472C4">
                <a:lumMod val="75000"/>
              </a:srgbClr>
            </a:gs>
            <a:gs pos="100000">
              <a:srgbClr val="4472C4">
                <a:lumMod val="40000"/>
                <a:lumOff val="60000"/>
              </a:srgbClr>
            </a:gs>
            <a:gs pos="100000">
              <a:srgbClr val="4472C4">
                <a:lumMod val="105000"/>
                <a:satMod val="109000"/>
                <a:tint val="81000"/>
              </a:srgbClr>
            </a:gs>
          </a:gsLst>
          <a:lin ang="2700000" scaled="1"/>
          <a:tileRect/>
        </a:gradFill>
        <a:ln w="6350" cap="flat" cmpd="sng" algn="ctr">
          <a:noFill/>
          <a:prstDash val="solid"/>
          <a:miter lim="800000"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Bahnschrift" panose="020B0502040204020203" pitchFamily="34" charset="0"/>
              <a:ea typeface="+mn-ea"/>
              <a:cs typeface="+mn-cs"/>
            </a:rPr>
            <a:t>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13</xdr:row>
      <xdr:rowOff>15436</xdr:rowOff>
    </xdr:from>
    <xdr:to>
      <xdr:col>8</xdr:col>
      <xdr:colOff>148397</xdr:colOff>
      <xdr:row>17</xdr:row>
      <xdr:rowOff>106356</xdr:rowOff>
    </xdr:to>
    <xdr:grpSp>
      <xdr:nvGrpSpPr>
        <xdr:cNvPr id="13" name="Agrupar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612321" y="3512472"/>
          <a:ext cx="4434647" cy="852920"/>
          <a:chOff x="343861" y="1980067"/>
          <a:chExt cx="4398928" cy="852920"/>
        </a:xfrm>
      </xdr:grpSpPr>
      <xdr:sp macro="" textlink="">
        <xdr:nvSpPr>
          <xdr:cNvPr id="87" name="Rectangle: Rounded Corners 34">
            <a:extLst>
              <a:ext uri="{FF2B5EF4-FFF2-40B4-BE49-F238E27FC236}">
                <a16:creationId xmlns:a16="http://schemas.microsoft.com/office/drawing/2014/main" id="{00000000-0008-0000-0300-000057000000}"/>
              </a:ext>
            </a:extLst>
          </xdr:cNvPr>
          <xdr:cNvSpPr>
            <a:spLocks/>
          </xdr:cNvSpPr>
        </xdr:nvSpPr>
        <xdr:spPr>
          <a:xfrm>
            <a:off x="343861" y="1980067"/>
            <a:ext cx="4321287" cy="852920"/>
          </a:xfrm>
          <a:prstGeom prst="roundRect">
            <a:avLst/>
          </a:prstGeom>
          <a:gradFill flip="none" rotWithShape="1">
            <a:gsLst>
              <a:gs pos="8000">
                <a:schemeClr val="accent5">
                  <a:lumMod val="75000"/>
                </a:schemeClr>
              </a:gs>
              <a:gs pos="100000">
                <a:srgbClr val="CCCCFF"/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GB" sz="200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</a:rPr>
              <a:t>Cards / Pontos:</a:t>
            </a:r>
            <a:r>
              <a:rPr lang="en-GB" sz="2000" baseline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</a:rPr>
              <a:t> Backlog</a:t>
            </a:r>
            <a:endParaRPr lang="en-GB" sz="20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endParaRPr>
          </a:p>
        </xdr:txBody>
      </xdr:sp>
      <xdr:sp macro="" textlink="">
        <xdr:nvSpPr>
          <xdr:cNvPr id="94" name="lbl_CardsBacklog">
            <a:extLst>
              <a:ext uri="{FF2B5EF4-FFF2-40B4-BE49-F238E27FC236}">
                <a16:creationId xmlns:a16="http://schemas.microsoft.com/office/drawing/2014/main" id="{00000000-0008-0000-0300-00005E000000}"/>
              </a:ext>
            </a:extLst>
          </xdr:cNvPr>
          <xdr:cNvSpPr txBox="1"/>
        </xdr:nvSpPr>
        <xdr:spPr>
          <a:xfrm>
            <a:off x="2117980" y="2343458"/>
            <a:ext cx="2624809" cy="4559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en-US" sz="3000" b="1" i="0" strike="noStrike">
                <a:solidFill>
                  <a:schemeClr val="bg1"/>
                </a:solidFill>
                <a:latin typeface="Bahnschrift" panose="020B0502040204020203" pitchFamily="34" charset="0"/>
              </a:rPr>
              <a:t>61 / 267 pts</a:t>
            </a:r>
          </a:p>
        </xdr:txBody>
      </xdr:sp>
    </xdr:grpSp>
    <xdr:clientData/>
  </xdr:twoCellAnchor>
  <xdr:twoCellAnchor editAs="absolute">
    <xdr:from>
      <xdr:col>0</xdr:col>
      <xdr:colOff>546515</xdr:colOff>
      <xdr:row>26</xdr:row>
      <xdr:rowOff>9283</xdr:rowOff>
    </xdr:from>
    <xdr:to>
      <xdr:col>8</xdr:col>
      <xdr:colOff>13848</xdr:colOff>
      <xdr:row>30</xdr:row>
      <xdr:rowOff>27215</xdr:rowOff>
    </xdr:to>
    <xdr:grpSp>
      <xdr:nvGrpSpPr>
        <xdr:cNvPr id="10" name="Agrupa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546515" y="5982819"/>
          <a:ext cx="4365904" cy="779932"/>
          <a:chOff x="393636" y="4462321"/>
          <a:chExt cx="4330075" cy="779932"/>
        </a:xfrm>
      </xdr:grpSpPr>
      <xdr:sp macro="" textlink="">
        <xdr:nvSpPr>
          <xdr:cNvPr id="110" name="Rectangle: Rounded Corners 34">
            <a:extLst>
              <a:ext uri="{FF2B5EF4-FFF2-40B4-BE49-F238E27FC236}">
                <a16:creationId xmlns:a16="http://schemas.microsoft.com/office/drawing/2014/main" id="{00000000-0008-0000-0300-00006E000000}"/>
              </a:ext>
            </a:extLst>
          </xdr:cNvPr>
          <xdr:cNvSpPr>
            <a:spLocks/>
          </xdr:cNvSpPr>
        </xdr:nvSpPr>
        <xdr:spPr>
          <a:xfrm>
            <a:off x="393636" y="4462321"/>
            <a:ext cx="4316337" cy="779932"/>
          </a:xfrm>
          <a:prstGeom prst="roundRect">
            <a:avLst/>
          </a:prstGeom>
          <a:gradFill>
            <a:gsLst>
              <a:gs pos="40000">
                <a:schemeClr val="accent5">
                  <a:lumMod val="75000"/>
                </a:schemeClr>
              </a:gs>
              <a:gs pos="100000">
                <a:schemeClr val="accent6">
                  <a:lumMod val="40000"/>
                  <a:lumOff val="60000"/>
                </a:schemeClr>
              </a:gs>
            </a:gsLst>
            <a:lin ang="0" scaled="1"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r>
              <a:rPr lang="en-GB" sz="2000">
                <a:solidFill>
                  <a:schemeClr val="bg1"/>
                </a:solidFill>
                <a:latin typeface="Bahnschrift" panose="020B0502040204020203" pitchFamily="34" charset="0"/>
                <a:ea typeface="+mn-ea"/>
                <a:cs typeface="+mn-cs"/>
              </a:rPr>
              <a:t>Pontos: Done</a:t>
            </a:r>
          </a:p>
        </xdr:txBody>
      </xdr:sp>
      <xdr:sp macro="" textlink="">
        <xdr:nvSpPr>
          <xdr:cNvPr id="114" name="lbl_CardsDone">
            <a:extLst>
              <a:ext uri="{FF2B5EF4-FFF2-40B4-BE49-F238E27FC236}">
                <a16:creationId xmlns:a16="http://schemas.microsoft.com/office/drawing/2014/main" id="{00000000-0008-0000-0300-000072000000}"/>
              </a:ext>
            </a:extLst>
          </xdr:cNvPr>
          <xdr:cNvSpPr txBox="1"/>
        </xdr:nvSpPr>
        <xdr:spPr>
          <a:xfrm>
            <a:off x="1989077" y="4760400"/>
            <a:ext cx="2734634" cy="4570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marL="0" indent="0" algn="ctr"/>
            <a:r>
              <a:rPr lang="en-US" sz="3000" b="1" i="0" u="none" strike="noStrike">
                <a:solidFill>
                  <a:schemeClr val="bg1"/>
                </a:solidFill>
                <a:latin typeface="Bahnschrift" panose="020B0502040204020203" pitchFamily="34" charset="0"/>
                <a:ea typeface="+mn-ea"/>
                <a:cs typeface="Calibri"/>
              </a:rPr>
              <a:t>0 / 0 pts</a:t>
            </a:r>
          </a:p>
        </xdr:txBody>
      </xdr:sp>
    </xdr:grpSp>
    <xdr:clientData/>
  </xdr:twoCellAnchor>
  <xdr:twoCellAnchor editAs="absolute">
    <xdr:from>
      <xdr:col>0</xdr:col>
      <xdr:colOff>433026</xdr:colOff>
      <xdr:row>17</xdr:row>
      <xdr:rowOff>132717</xdr:rowOff>
    </xdr:from>
    <xdr:to>
      <xdr:col>8</xdr:col>
      <xdr:colOff>265573</xdr:colOff>
      <xdr:row>25</xdr:row>
      <xdr:rowOff>161683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433026" y="4391753"/>
          <a:ext cx="4731118" cy="1552966"/>
          <a:chOff x="246529" y="2871256"/>
          <a:chExt cx="4693277" cy="1552966"/>
        </a:xfrm>
      </xdr:grpSpPr>
      <xdr:grpSp>
        <xdr:nvGrpSpPr>
          <xdr:cNvPr id="12" name="Agrupar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GrpSpPr/>
        </xdr:nvGrpSpPr>
        <xdr:grpSpPr>
          <a:xfrm>
            <a:off x="360188" y="2871256"/>
            <a:ext cx="4304960" cy="768556"/>
            <a:chOff x="360188" y="2871256"/>
            <a:chExt cx="4304960" cy="768556"/>
          </a:xfrm>
        </xdr:grpSpPr>
        <xdr:sp macro="" textlink="">
          <xdr:nvSpPr>
            <xdr:cNvPr id="107" name="Rectangle: Rounded Corners 34">
              <a:extLst>
                <a:ext uri="{FF2B5EF4-FFF2-40B4-BE49-F238E27FC236}">
                  <a16:creationId xmlns:a16="http://schemas.microsoft.com/office/drawing/2014/main" id="{00000000-0008-0000-0300-00006B000000}"/>
                </a:ext>
              </a:extLst>
            </xdr:cNvPr>
            <xdr:cNvSpPr>
              <a:spLocks/>
            </xdr:cNvSpPr>
          </xdr:nvSpPr>
          <xdr:spPr>
            <a:xfrm>
              <a:off x="360188" y="2871256"/>
              <a:ext cx="4304960" cy="768556"/>
            </a:xfrm>
            <a:prstGeom prst="roundRect">
              <a:avLst/>
            </a:prstGeom>
            <a:gradFill flip="none" rotWithShape="1">
              <a:gsLst>
                <a:gs pos="100000">
                  <a:schemeClr val="accent1">
                    <a:lumMod val="40000"/>
                    <a:lumOff val="60000"/>
                  </a:schemeClr>
                </a:gs>
                <a:gs pos="2000">
                  <a:schemeClr val="accent1">
                    <a:lumMod val="75000"/>
                  </a:schemeClr>
                </a:gs>
                <a:gs pos="100000">
                  <a:schemeClr val="accent1">
                    <a:lumMod val="20000"/>
                    <a:lumOff val="80000"/>
                  </a:schemeClr>
                </a:gs>
              </a:gsLst>
              <a:lin ang="0" scaled="1"/>
              <a:tileRect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r>
                <a:rPr lang="en-GB" sz="2000" b="0" baseline="0">
                  <a:solidFill>
                    <a:schemeClr val="bg1"/>
                  </a:solidFill>
                  <a:latin typeface="Bahnschrift" panose="020B0502040204020203" pitchFamily="34" charset="0"/>
                  <a:ea typeface="+mn-ea"/>
                  <a:cs typeface="+mn-cs"/>
                </a:rPr>
                <a:t>Pontos</a:t>
              </a:r>
              <a:r>
                <a:rPr lang="en-GB" sz="2000" b="0">
                  <a:solidFill>
                    <a:schemeClr val="bg1"/>
                  </a:solidFill>
                  <a:latin typeface="Bahnschrift" panose="020B0502040204020203" pitchFamily="34" charset="0"/>
                  <a:ea typeface="+mn-ea"/>
                  <a:cs typeface="+mn-cs"/>
                </a:rPr>
                <a:t>: Doing</a:t>
              </a:r>
            </a:p>
          </xdr:txBody>
        </xdr:sp>
        <xdr:sp macro="" textlink="">
          <xdr:nvSpPr>
            <xdr:cNvPr id="111" name="lbl_CardsDoing">
              <a:extLst>
                <a:ext uri="{FF2B5EF4-FFF2-40B4-BE49-F238E27FC236}">
                  <a16:creationId xmlns:a16="http://schemas.microsoft.com/office/drawing/2014/main" id="{00000000-0008-0000-0300-00006F000000}"/>
                </a:ext>
              </a:extLst>
            </xdr:cNvPr>
            <xdr:cNvSpPr txBox="1"/>
          </xdr:nvSpPr>
          <xdr:spPr>
            <a:xfrm>
              <a:off x="2007569" y="3148992"/>
              <a:ext cx="2637781" cy="41637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en-US" sz="3000" b="1" i="0" u="none" strike="noStrike">
                  <a:solidFill>
                    <a:schemeClr val="bg1"/>
                  </a:solidFill>
                  <a:latin typeface="Bahnschrift" panose="020B0502040204020203" pitchFamily="34" charset="0"/>
                </a:rPr>
                <a:t>29 / 146 pts</a:t>
              </a:r>
            </a:p>
          </xdr:txBody>
        </xdr:sp>
      </xdr:grpSp>
      <xdr:grpSp>
        <xdr:nvGrpSpPr>
          <xdr:cNvPr id="11" name="Agrupar 10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GrpSpPr/>
        </xdr:nvGrpSpPr>
        <xdr:grpSpPr>
          <a:xfrm>
            <a:off x="1318811" y="3660777"/>
            <a:ext cx="3620995" cy="763445"/>
            <a:chOff x="1318811" y="3660777"/>
            <a:chExt cx="3620995" cy="763445"/>
          </a:xfrm>
        </xdr:grpSpPr>
        <xdr:sp macro="" textlink="">
          <xdr:nvSpPr>
            <xdr:cNvPr id="109" name="Rectangle: Rounded Corners 34">
              <a:extLst>
                <a:ext uri="{FF2B5EF4-FFF2-40B4-BE49-F238E27FC236}">
                  <a16:creationId xmlns:a16="http://schemas.microsoft.com/office/drawing/2014/main" id="{00000000-0008-0000-0300-00006D000000}"/>
                </a:ext>
              </a:extLst>
            </xdr:cNvPr>
            <xdr:cNvSpPr>
              <a:spLocks/>
            </xdr:cNvSpPr>
          </xdr:nvSpPr>
          <xdr:spPr>
            <a:xfrm>
              <a:off x="1318811" y="3660777"/>
              <a:ext cx="3357544" cy="763445"/>
            </a:xfrm>
            <a:prstGeom prst="roundRect">
              <a:avLst/>
            </a:prstGeom>
            <a:gradFill flip="none" rotWithShape="1">
              <a:gsLst>
                <a:gs pos="52000">
                  <a:schemeClr val="accent5">
                    <a:lumMod val="60000"/>
                    <a:lumOff val="40000"/>
                  </a:schemeClr>
                </a:gs>
                <a:gs pos="100000">
                  <a:srgbClr val="FF9966"/>
                </a:gs>
                <a:gs pos="100000">
                  <a:schemeClr val="accent2">
                    <a:lumMod val="40000"/>
                    <a:lumOff val="60000"/>
                  </a:schemeClr>
                </a:gs>
              </a:gsLst>
              <a:lin ang="0" scaled="1"/>
              <a:tileRect/>
            </a:gra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marL="0" indent="0" algn="l"/>
              <a:r>
                <a:rPr lang="en-GB" sz="1800" b="0" i="1" u="none" baseline="0">
                  <a:solidFill>
                    <a:schemeClr val="bg1"/>
                  </a:solidFill>
                  <a:latin typeface="Bahnschrift" panose="020B0502040204020203" pitchFamily="34" charset="0"/>
                  <a:ea typeface="+mn-ea"/>
                  <a:cs typeface="+mn-cs"/>
                </a:rPr>
                <a:t>Pontos</a:t>
              </a:r>
              <a:r>
                <a:rPr lang="en-GB" sz="1800" b="0" i="1" u="none">
                  <a:solidFill>
                    <a:schemeClr val="bg1"/>
                  </a:solidFill>
                  <a:latin typeface="Bahnschrift" panose="020B0502040204020203" pitchFamily="34" charset="0"/>
                  <a:ea typeface="+mn-ea"/>
                  <a:cs typeface="+mn-cs"/>
                </a:rPr>
                <a:t>: Em</a:t>
              </a:r>
              <a:r>
                <a:rPr lang="en-GB" sz="1800" b="0" i="1" u="none" baseline="0">
                  <a:solidFill>
                    <a:schemeClr val="bg1"/>
                  </a:solidFill>
                  <a:latin typeface="Bahnschrift" panose="020B0502040204020203" pitchFamily="34" charset="0"/>
                  <a:ea typeface="+mn-ea"/>
                  <a:cs typeface="+mn-cs"/>
                </a:rPr>
                <a:t> atraso</a:t>
              </a:r>
              <a:endParaRPr lang="en-GB" sz="1800" b="0" i="1" u="none">
                <a:solidFill>
                  <a:schemeClr val="bg1"/>
                </a:solidFill>
                <a:latin typeface="Bahnschrift" panose="020B0502040204020203" pitchFamily="34" charset="0"/>
                <a:ea typeface="+mn-ea"/>
                <a:cs typeface="+mn-cs"/>
              </a:endParaRPr>
            </a:p>
          </xdr:txBody>
        </xdr:sp>
        <xdr:sp macro="" textlink="">
          <xdr:nvSpPr>
            <xdr:cNvPr id="112" name="lbl_CardsAtraso">
              <a:extLst>
                <a:ext uri="{FF2B5EF4-FFF2-40B4-BE49-F238E27FC236}">
                  <a16:creationId xmlns:a16="http://schemas.microsoft.com/office/drawing/2014/main" id="{00000000-0008-0000-0300-000070000000}"/>
                </a:ext>
              </a:extLst>
            </xdr:cNvPr>
            <xdr:cNvSpPr txBox="1"/>
          </xdr:nvSpPr>
          <xdr:spPr>
            <a:xfrm>
              <a:off x="2467387" y="3948925"/>
              <a:ext cx="2472419" cy="4616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en-US" sz="3000" b="1" i="0" u="none" strike="noStrike">
                  <a:solidFill>
                    <a:schemeClr val="bg1"/>
                  </a:solidFill>
                  <a:latin typeface="Bahnschrift" panose="020B0502040204020203" pitchFamily="34" charset="0"/>
                </a:rPr>
                <a:t>23 / 92 pts</a:t>
              </a:r>
            </a:p>
          </xdr:txBody>
        </xdr:sp>
      </xdr:grpSp>
      <xdr:sp macro="" textlink="">
        <xdr:nvSpPr>
          <xdr:cNvPr id="115" name="Seta em Curva para a Esquerda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SpPr/>
        </xdr:nvSpPr>
        <xdr:spPr>
          <a:xfrm flipH="1">
            <a:off x="246529" y="3457309"/>
            <a:ext cx="1078366" cy="734786"/>
          </a:xfrm>
          <a:prstGeom prst="curvedLeftArrow">
            <a:avLst>
              <a:gd name="adj1" fmla="val 25000"/>
              <a:gd name="adj2" fmla="val 50000"/>
              <a:gd name="adj3" fmla="val 17308"/>
            </a:avLst>
          </a:prstGeom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19</xdr:col>
      <xdr:colOff>437029</xdr:colOff>
      <xdr:row>2</xdr:row>
      <xdr:rowOff>134468</xdr:rowOff>
    </xdr:from>
    <xdr:to>
      <xdr:col>27</xdr:col>
      <xdr:colOff>168088</xdr:colOff>
      <xdr:row>11</xdr:row>
      <xdr:rowOff>89643</xdr:rowOff>
    </xdr:to>
    <xdr:graphicFrame macro="">
      <xdr:nvGraphicFramePr>
        <xdr:cNvPr id="43" name="Gráfico 42">
          <a:extLst>
            <a:ext uri="{FF2B5EF4-FFF2-40B4-BE49-F238E27FC236}">
              <a16:creationId xmlns:a16="http://schemas.microsoft.com/office/drawing/2014/main" id="{00000000-0008-0000-03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183323</xdr:colOff>
      <xdr:row>3</xdr:row>
      <xdr:rowOff>83460</xdr:rowOff>
    </xdr:from>
    <xdr:ext cx="65" cy="461729"/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5648292" y="845460"/>
          <a:ext cx="65" cy="46172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spAutoFit/>
        </a:bodyPr>
        <a:lstStyle/>
        <a:p>
          <a:pPr algn="ctr"/>
          <a:endParaRPr lang="pt-BR" sz="3000" b="1" i="0" u="sng" strike="noStrike">
            <a:solidFill>
              <a:srgbClr val="006400"/>
            </a:solidFill>
            <a:latin typeface="Bahnschrift" panose="020B0502040204020203" pitchFamily="34" charset="0"/>
            <a:cs typeface="Arial"/>
          </a:endParaRPr>
        </a:p>
      </xdr:txBody>
    </xdr:sp>
    <xdr:clientData/>
  </xdr:oneCellAnchor>
  <xdr:twoCellAnchor editAs="absolute">
    <xdr:from>
      <xdr:col>0</xdr:col>
      <xdr:colOff>461043</xdr:colOff>
      <xdr:row>1</xdr:row>
      <xdr:rowOff>0</xdr:rowOff>
    </xdr:from>
    <xdr:to>
      <xdr:col>8</xdr:col>
      <xdr:colOff>0</xdr:colOff>
      <xdr:row>9</xdr:row>
      <xdr:rowOff>170768</xdr:rowOff>
    </xdr:to>
    <xdr:grpSp>
      <xdr:nvGrpSpPr>
        <xdr:cNvPr id="20" name="Agrupar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61043" y="680357"/>
          <a:ext cx="4437528" cy="2225447"/>
          <a:chOff x="285751" y="43546"/>
          <a:chExt cx="4401809" cy="1904176"/>
        </a:xfrm>
      </xdr:grpSpPr>
      <xdr:grpSp>
        <xdr:nvGrpSpPr>
          <xdr:cNvPr id="48" name="Group 11">
            <a:extLst>
              <a:ext uri="{FF2B5EF4-FFF2-40B4-BE49-F238E27FC236}">
                <a16:creationId xmlns:a16="http://schemas.microsoft.com/office/drawing/2014/main" id="{00000000-0008-0000-0300-000030000000}"/>
              </a:ext>
            </a:extLst>
          </xdr:cNvPr>
          <xdr:cNvGrpSpPr/>
        </xdr:nvGrpSpPr>
        <xdr:grpSpPr>
          <a:xfrm>
            <a:off x="285751" y="43546"/>
            <a:ext cx="4401809" cy="1904176"/>
            <a:chOff x="376518" y="173815"/>
            <a:chExt cx="4907060" cy="2116068"/>
          </a:xfrm>
          <a:gradFill>
            <a:gsLst>
              <a:gs pos="85750">
                <a:srgbClr val="AAC1E5"/>
              </a:gs>
              <a:gs pos="100000">
                <a:srgbClr val="A8C1E5"/>
              </a:gs>
              <a:gs pos="100000">
                <a:srgbClr val="A4C2E5"/>
              </a:gs>
              <a:gs pos="50000">
                <a:schemeClr val="accent1">
                  <a:lumMod val="50000"/>
                </a:schemeClr>
              </a:gs>
              <a:gs pos="100000">
                <a:schemeClr val="accent5">
                  <a:lumMod val="45000"/>
                  <a:lumOff val="55000"/>
                </a:schemeClr>
              </a:gs>
              <a:gs pos="98000">
                <a:schemeClr val="accent5">
                  <a:lumMod val="45000"/>
                  <a:lumOff val="55000"/>
                </a:schemeClr>
              </a:gs>
              <a:gs pos="100000">
                <a:schemeClr val="accent5">
                  <a:lumMod val="30000"/>
                  <a:lumOff val="70000"/>
                </a:schemeClr>
              </a:gs>
            </a:gsLst>
            <a:lin ang="5400000" scaled="0"/>
          </a:gradFill>
        </xdr:grpSpPr>
        <xdr:sp macro="" textlink="">
          <xdr:nvSpPr>
            <xdr:cNvPr id="49" name="Rectangle: Rounded Corners 3"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376518" y="173815"/>
              <a:ext cx="4907060" cy="2116068"/>
            </a:xfrm>
            <a:prstGeom prst="roundRect">
              <a:avLst/>
            </a:prstGeom>
            <a:grp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Home!D1">
          <xdr:nvSpPr>
            <xdr:cNvPr id="51" name="TextBox 4"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 txBox="1"/>
          </xdr:nvSpPr>
          <xdr:spPr>
            <a:xfrm>
              <a:off x="460710" y="290260"/>
              <a:ext cx="4784985" cy="996254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fld id="{25CC3085-DEA6-4464-9B7C-55D331AB824B}" type="TxLink">
                <a:rPr lang="en-US" sz="2000" b="1" i="0" u="none" strike="noStrike">
                  <a:solidFill>
                    <a:srgbClr val="FFFFFF"/>
                  </a:solidFill>
                  <a:latin typeface="Bahnschrift" panose="020B0502040204020203" pitchFamily="34" charset="0"/>
                  <a:cs typeface="Arial"/>
                </a:rPr>
                <a:pPr algn="ctr"/>
                <a:t>[[Entre com nome do Projeto]]</a:t>
              </a:fld>
              <a:endParaRPr lang="en-GB" sz="2000" b="1" i="1">
                <a:solidFill>
                  <a:schemeClr val="bg1"/>
                </a:solidFill>
                <a:latin typeface="Bahnschrift" panose="020B0502040204020203" pitchFamily="34" charset="0"/>
              </a:endParaRPr>
            </a:p>
          </xdr:txBody>
        </xdr:sp>
        <xdr:sp macro="" textlink="">
          <xdr:nvSpPr>
            <xdr:cNvPr id="54" name="TextBox 7"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SpPr txBox="1"/>
          </xdr:nvSpPr>
          <xdr:spPr>
            <a:xfrm>
              <a:off x="3864135" y="1399752"/>
              <a:ext cx="1248012" cy="260772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600" b="0" i="0" u="none" strike="noStrike">
                  <a:solidFill>
                    <a:schemeClr val="bg1"/>
                  </a:solidFill>
                  <a:latin typeface="Bahnschrift" panose="020B0502040204020203" pitchFamily="34" charset="0"/>
                </a:rPr>
                <a:t>Pontos</a:t>
              </a:r>
              <a:endParaRPr lang="en-US" sz="1600" b="0" i="0" u="none" strike="noStrike">
                <a:solidFill>
                  <a:schemeClr val="bg1"/>
                </a:solidFill>
                <a:latin typeface="Bahnschrift" panose="020B0502040204020203" pitchFamily="34" charset="0"/>
              </a:endParaRPr>
            </a:p>
          </xdr:txBody>
        </xdr:sp>
        <xdr:sp macro="" textlink="">
          <xdr:nvSpPr>
            <xdr:cNvPr id="57" name="lbl_TotalPoints"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:cNvPr>
            <xdr:cNvSpPr txBox="1"/>
          </xdr:nvSpPr>
          <xdr:spPr>
            <a:xfrm>
              <a:off x="3928728" y="1688946"/>
              <a:ext cx="1182035" cy="389306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r>
                <a:rPr lang="en-US" sz="3000" b="1" i="0" u="none" strike="noStrike">
                  <a:solidFill>
                    <a:schemeClr val="bg1"/>
                  </a:solidFill>
                  <a:latin typeface="Bahnschrift" panose="020B0502040204020203" pitchFamily="34" charset="0"/>
                  <a:ea typeface="+mn-ea"/>
                </a:rPr>
                <a:t>413</a:t>
              </a:r>
            </a:p>
          </xdr:txBody>
        </xdr:sp>
        <xdr:sp macro="" textlink="">
          <xdr:nvSpPr>
            <xdr:cNvPr id="71" name="TextBox 7">
              <a:extLst>
                <a:ext uri="{FF2B5EF4-FFF2-40B4-BE49-F238E27FC236}">
                  <a16:creationId xmlns:a16="http://schemas.microsoft.com/office/drawing/2014/main" id="{00000000-0008-0000-0300-000047000000}"/>
                </a:ext>
              </a:extLst>
            </xdr:cNvPr>
            <xdr:cNvSpPr txBox="1"/>
          </xdr:nvSpPr>
          <xdr:spPr>
            <a:xfrm>
              <a:off x="2257131" y="1428216"/>
              <a:ext cx="1248012" cy="260772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pt-BR" sz="1600" b="0" i="0" u="none" strike="noStrike">
                  <a:solidFill>
                    <a:schemeClr val="bg1"/>
                  </a:solidFill>
                  <a:latin typeface="Bahnschrift" panose="020B0502040204020203" pitchFamily="34" charset="0"/>
                </a:rPr>
                <a:t>Cards</a:t>
              </a:r>
              <a:endParaRPr lang="en-US" sz="1600" b="0" i="0" u="none" strike="noStrike">
                <a:solidFill>
                  <a:schemeClr val="bg1"/>
                </a:solidFill>
                <a:latin typeface="Bahnschrift" panose="020B0502040204020203" pitchFamily="34" charset="0"/>
              </a:endParaRPr>
            </a:p>
          </xdr:txBody>
        </xdr:sp>
        <xdr:sp macro="" textlink="">
          <xdr:nvSpPr>
            <xdr:cNvPr id="72" name="lbl_TotalCards">
              <a:extLst>
                <a:ext uri="{FF2B5EF4-FFF2-40B4-BE49-F238E27FC236}">
                  <a16:creationId xmlns:a16="http://schemas.microsoft.com/office/drawing/2014/main" id="{00000000-0008-0000-0300-000048000000}"/>
                </a:ext>
              </a:extLst>
            </xdr:cNvPr>
            <xdr:cNvSpPr txBox="1"/>
          </xdr:nvSpPr>
          <xdr:spPr>
            <a:xfrm>
              <a:off x="2321720" y="1665661"/>
              <a:ext cx="1182035" cy="389306"/>
            </a:xfrm>
            <a:prstGeom prst="rect">
              <a:avLst/>
            </a:prstGeom>
            <a:grp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r>
                <a:rPr lang="en-US" sz="3000" b="1" i="0" u="none" strike="noStrike">
                  <a:solidFill>
                    <a:schemeClr val="bg1"/>
                  </a:solidFill>
                  <a:latin typeface="Bahnschrift" panose="020B0502040204020203" pitchFamily="34" charset="0"/>
                  <a:ea typeface="+mn-ea"/>
                </a:rPr>
                <a:t>90</a:t>
              </a:r>
            </a:p>
          </xdr:txBody>
        </xdr:sp>
      </xdr:grpSp>
      <xdr:sp macro="" textlink="">
        <xdr:nvSpPr>
          <xdr:cNvPr id="81" name="TextBox 7">
            <a:extLst>
              <a:ext uri="{FF2B5EF4-FFF2-40B4-BE49-F238E27FC236}">
                <a16:creationId xmlns:a16="http://schemas.microsoft.com/office/drawing/2014/main" id="{00000000-0008-0000-0300-000051000000}"/>
              </a:ext>
            </a:extLst>
          </xdr:cNvPr>
          <xdr:cNvSpPr txBox="1"/>
        </xdr:nvSpPr>
        <xdr:spPr>
          <a:xfrm>
            <a:off x="532279" y="1128889"/>
            <a:ext cx="1352609" cy="2804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600" b="0" i="0" u="none" strike="noStrike">
                <a:solidFill>
                  <a:schemeClr val="bg1"/>
                </a:solidFill>
                <a:latin typeface="Bahnschrift" panose="020B0502040204020203" pitchFamily="34" charset="0"/>
              </a:rPr>
              <a:t>Estorias</a:t>
            </a:r>
            <a:endParaRPr lang="en-US" sz="1600" b="0" i="0" u="none" strike="noStrike">
              <a:solidFill>
                <a:schemeClr val="bg1"/>
              </a:solidFill>
              <a:latin typeface="Bahnschrift" panose="020B0502040204020203" pitchFamily="34" charset="0"/>
            </a:endParaRPr>
          </a:p>
        </xdr:txBody>
      </xdr:sp>
      <xdr:sp macro="" textlink="">
        <xdr:nvSpPr>
          <xdr:cNvPr id="82" name="lbl_TotalTasks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SpPr txBox="1"/>
        </xdr:nvSpPr>
        <xdr:spPr>
          <a:xfrm>
            <a:off x="517391" y="1394953"/>
            <a:ext cx="1355314" cy="39157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r>
              <a:rPr lang="en-US" sz="3000" b="1" i="0" u="none" strike="noStrike">
                <a:solidFill>
                  <a:schemeClr val="bg1"/>
                </a:solidFill>
                <a:latin typeface="Bahnschrift"/>
                <a:ea typeface="+mn-ea"/>
                <a:cs typeface="+mn-cs"/>
              </a:rPr>
              <a:t>30</a:t>
            </a:r>
          </a:p>
        </xdr:txBody>
      </xdr:sp>
    </xdr:grpSp>
    <xdr:clientData/>
  </xdr:twoCellAnchor>
  <xdr:twoCellAnchor editAs="absolute">
    <xdr:from>
      <xdr:col>1</xdr:col>
      <xdr:colOff>0</xdr:colOff>
      <xdr:row>10</xdr:row>
      <xdr:rowOff>96403</xdr:rowOff>
    </xdr:from>
    <xdr:to>
      <xdr:col>8</xdr:col>
      <xdr:colOff>70756</xdr:colOff>
      <xdr:row>12</xdr:row>
      <xdr:rowOff>178502</xdr:rowOff>
    </xdr:to>
    <xdr:sp macro="" textlink="">
      <xdr:nvSpPr>
        <xdr:cNvPr id="84" name="Rectangle: Rounded Corners 34">
          <a:extLst>
            <a:ext uri="{FF2B5EF4-FFF2-40B4-BE49-F238E27FC236}">
              <a16:creationId xmlns:a16="http://schemas.microsoft.com/office/drawing/2014/main" id="{00000000-0008-0000-0300-000054000000}"/>
            </a:ext>
          </a:extLst>
        </xdr:cNvPr>
        <xdr:cNvSpPr>
          <a:spLocks/>
        </xdr:cNvSpPr>
      </xdr:nvSpPr>
      <xdr:spPr>
        <a:xfrm>
          <a:off x="612321" y="3021939"/>
          <a:ext cx="4357006" cy="463099"/>
        </a:xfrm>
        <a:prstGeom prst="roundRect">
          <a:avLst/>
        </a:prstGeom>
        <a:gradFill flip="none" rotWithShape="1">
          <a:gsLst>
            <a:gs pos="43363">
              <a:schemeClr val="accent5">
                <a:lumMod val="75000"/>
              </a:schemeClr>
            </a:gs>
            <a:gs pos="46000">
              <a:schemeClr val="accent5">
                <a:lumMod val="75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rPr>
            <a:t>Quadro</a:t>
          </a:r>
          <a:r>
            <a:rPr lang="en-GB" sz="2000" baseline="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rPr>
            <a:t> Kanban</a:t>
          </a:r>
          <a:endParaRPr lang="en-GB" sz="2000">
            <a:solidFill>
              <a:schemeClr val="bg1">
                <a:lumMod val="95000"/>
              </a:schemeClr>
            </a:solidFill>
            <a:latin typeface="Bahnschrift" panose="020B0502040204020203" pitchFamily="34" charset="0"/>
          </a:endParaRPr>
        </a:p>
      </xdr:txBody>
    </xdr:sp>
    <xdr:clientData/>
  </xdr:twoCellAnchor>
  <xdr:twoCellAnchor editAs="absolute">
    <xdr:from>
      <xdr:col>1</xdr:col>
      <xdr:colOff>40822</xdr:colOff>
      <xdr:row>0</xdr:row>
      <xdr:rowOff>107497</xdr:rowOff>
    </xdr:from>
    <xdr:to>
      <xdr:col>4</xdr:col>
      <xdr:colOff>40821</xdr:colOff>
      <xdr:row>0</xdr:row>
      <xdr:rowOff>571500</xdr:rowOff>
    </xdr:to>
    <xdr:sp macro="" textlink="">
      <xdr:nvSpPr>
        <xdr:cNvPr id="5" name="Retângulo Arredond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653143" y="107497"/>
          <a:ext cx="1836964" cy="464003"/>
        </a:xfrm>
        <a:prstGeom prst="roundRect">
          <a:avLst/>
        </a:prstGeom>
        <a:gradFill flip="none" rotWithShape="1">
          <a:gsLst>
            <a:gs pos="38000">
              <a:schemeClr val="accent5">
                <a:lumMod val="75000"/>
              </a:schemeClr>
            </a:gs>
            <a:gs pos="100000">
              <a:schemeClr val="accent5">
                <a:lumMod val="40000"/>
                <a:lumOff val="60000"/>
              </a:schemeClr>
            </a:gs>
            <a:gs pos="100000">
              <a:schemeClr val="accent5">
                <a:lumMod val="105000"/>
                <a:satMod val="109000"/>
                <a:tint val="81000"/>
              </a:schemeClr>
            </a:gs>
          </a:gsLst>
          <a:lin ang="2700000" scaled="1"/>
          <a:tileRect/>
        </a:gradFill>
        <a:ln>
          <a:noFill/>
        </a:ln>
        <a:effectLst>
          <a:outerShdw blurRad="149987" dist="250190" dir="8460000" sx="102000" sy="102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Bahnschrift" panose="020B0502040204020203" pitchFamily="34" charset="0"/>
            </a:rPr>
            <a:t>Home</a:t>
          </a:r>
        </a:p>
      </xdr:txBody>
    </xdr:sp>
    <xdr:clientData/>
  </xdr:twoCellAnchor>
  <xdr:twoCellAnchor>
    <xdr:from>
      <xdr:col>10</xdr:col>
      <xdr:colOff>252534</xdr:colOff>
      <xdr:row>11</xdr:row>
      <xdr:rowOff>56696</xdr:rowOff>
    </xdr:from>
    <xdr:to>
      <xdr:col>20</xdr:col>
      <xdr:colOff>551089</xdr:colOff>
      <xdr:row>28</xdr:row>
      <xdr:rowOff>23622</xdr:rowOff>
    </xdr:to>
    <xdr:grpSp>
      <xdr:nvGrpSpPr>
        <xdr:cNvPr id="55" name="Agrupar 54">
          <a:extLst>
            <a:ext uri="{FF2B5EF4-FFF2-40B4-BE49-F238E27FC236}">
              <a16:creationId xmlns:a16="http://schemas.microsoft.com/office/drawing/2014/main" id="{00000000-0008-0000-0300-000037000000}"/>
            </a:ext>
          </a:extLst>
        </xdr:cNvPr>
        <xdr:cNvGrpSpPr/>
      </xdr:nvGrpSpPr>
      <xdr:grpSpPr>
        <a:xfrm>
          <a:off x="6375748" y="3172732"/>
          <a:ext cx="6421770" cy="3205426"/>
          <a:chOff x="6019800" y="4162425"/>
          <a:chExt cx="6400800" cy="2984500"/>
        </a:xfrm>
      </xdr:grpSpPr>
      <xdr:graphicFrame macro="">
        <xdr:nvGraphicFramePr>
          <xdr:cNvPr id="56" name="Gráfico 55">
            <a:extLst>
              <a:ext uri="{FF2B5EF4-FFF2-40B4-BE49-F238E27FC236}">
                <a16:creationId xmlns:a16="http://schemas.microsoft.com/office/drawing/2014/main" id="{00000000-0008-0000-0300-000038000000}"/>
              </a:ext>
            </a:extLst>
          </xdr:cNvPr>
          <xdr:cNvGraphicFramePr>
            <a:graphicFrameLocks/>
          </xdr:cNvGraphicFramePr>
        </xdr:nvGraphicFramePr>
        <xdr:xfrm>
          <a:off x="6019800" y="4162425"/>
          <a:ext cx="6400800" cy="2984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Summary!B2">
        <xdr:nvSpPr>
          <xdr:cNvPr id="58" name="CaixaDeTexto 57">
            <a:extLst>
              <a:ext uri="{FF2B5EF4-FFF2-40B4-BE49-F238E27FC236}">
                <a16:creationId xmlns:a16="http://schemas.microsoft.com/office/drawing/2014/main" id="{00000000-0008-0000-0300-00003A000000}"/>
              </a:ext>
            </a:extLst>
          </xdr:cNvPr>
          <xdr:cNvSpPr txBox="1"/>
        </xdr:nvSpPr>
        <xdr:spPr>
          <a:xfrm>
            <a:off x="6366621" y="5581387"/>
            <a:ext cx="2397213" cy="6304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marL="0" indent="0" algn="ctr"/>
            <a:fld id="{659ECC4A-1A3B-4501-ADAA-FA5655184023}" type="TxLink">
              <a:rPr lang="en-US" sz="4000" b="1" i="0" u="none" strike="noStrike">
                <a:solidFill>
                  <a:schemeClr val="accent5">
                    <a:lumMod val="50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0%</a:t>
            </a:fld>
            <a:endParaRPr lang="en-US" sz="4000" b="1" i="0" u="none" strike="noStrike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Summary!F2">
        <xdr:nvSpPr>
          <xdr:cNvPr id="59" name="CaixaDeTexto 58">
            <a:extLst>
              <a:ext uri="{FF2B5EF4-FFF2-40B4-BE49-F238E27FC236}">
                <a16:creationId xmlns:a16="http://schemas.microsoft.com/office/drawing/2014/main" id="{00000000-0008-0000-0300-00003B000000}"/>
              </a:ext>
            </a:extLst>
          </xdr:cNvPr>
          <xdr:cNvSpPr txBox="1"/>
        </xdr:nvSpPr>
        <xdr:spPr>
          <a:xfrm>
            <a:off x="6325990" y="6138837"/>
            <a:ext cx="2437843" cy="3621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marL="0" indent="0" algn="ctr"/>
            <a:fld id="{D4BBBEC8-FD93-44D1-BBD1-D75E7F97CBE9}" type="TxLink">
              <a:rPr lang="en-US" sz="2500" b="1" i="0" u="none" strike="noStrike">
                <a:solidFill>
                  <a:schemeClr val="accent5">
                    <a:lumMod val="50000"/>
                  </a:schemeClr>
                </a:solidFill>
                <a:latin typeface="Bahnschrift" panose="020B0502040204020203" pitchFamily="34" charset="0"/>
                <a:ea typeface="+mn-ea"/>
                <a:cs typeface="Arial" panose="020B0604020202020204" pitchFamily="34" charset="0"/>
              </a:rPr>
              <a:pPr marL="0" indent="0" algn="ctr"/>
              <a:t>Ruim</a:t>
            </a:fld>
            <a:endParaRPr lang="pt-BR" sz="2500" b="1" i="0" u="none" strike="noStrike">
              <a:solidFill>
                <a:schemeClr val="accent5">
                  <a:lumMod val="50000"/>
                </a:schemeClr>
              </a:solidFill>
              <a:latin typeface="Bahnschrift" panose="020B0502040204020203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 editAs="absolute">
    <xdr:from>
      <xdr:col>1</xdr:col>
      <xdr:colOff>1</xdr:colOff>
      <xdr:row>30</xdr:row>
      <xdr:rowOff>190044</xdr:rowOff>
    </xdr:from>
    <xdr:to>
      <xdr:col>28</xdr:col>
      <xdr:colOff>1</xdr:colOff>
      <xdr:row>33</xdr:row>
      <xdr:rowOff>81643</xdr:rowOff>
    </xdr:to>
    <xdr:sp macro="" textlink="">
      <xdr:nvSpPr>
        <xdr:cNvPr id="169" name="Rectangle: Rounded Corners 34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SpPr>
          <a:spLocks/>
        </xdr:cNvSpPr>
      </xdr:nvSpPr>
      <xdr:spPr>
        <a:xfrm>
          <a:off x="609601" y="6933744"/>
          <a:ext cx="16459200" cy="463099"/>
        </a:xfrm>
        <a:prstGeom prst="roundRect">
          <a:avLst/>
        </a:prstGeom>
        <a:gradFill flip="none" rotWithShape="1">
          <a:gsLst>
            <a:gs pos="43363">
              <a:schemeClr val="accent5">
                <a:lumMod val="75000"/>
              </a:schemeClr>
            </a:gs>
            <a:gs pos="46000">
              <a:schemeClr val="accent5">
                <a:lumMod val="75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rPr>
            <a:t>Burnup</a:t>
          </a:r>
        </a:p>
      </xdr:txBody>
    </xdr:sp>
    <xdr:clientData/>
  </xdr:twoCellAnchor>
  <xdr:twoCellAnchor editAs="absolute">
    <xdr:from>
      <xdr:col>1</xdr:col>
      <xdr:colOff>2721</xdr:colOff>
      <xdr:row>10</xdr:row>
      <xdr:rowOff>88239</xdr:rowOff>
    </xdr:from>
    <xdr:to>
      <xdr:col>8</xdr:col>
      <xdr:colOff>73477</xdr:colOff>
      <xdr:row>12</xdr:row>
      <xdr:rowOff>170338</xdr:rowOff>
    </xdr:to>
    <xdr:sp macro="" textlink="">
      <xdr:nvSpPr>
        <xdr:cNvPr id="170" name="Rectangle: Rounded Corners 34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SpPr>
          <a:spLocks/>
        </xdr:cNvSpPr>
      </xdr:nvSpPr>
      <xdr:spPr>
        <a:xfrm>
          <a:off x="612321" y="3021939"/>
          <a:ext cx="4337956" cy="463099"/>
        </a:xfrm>
        <a:prstGeom prst="roundRect">
          <a:avLst/>
        </a:prstGeom>
        <a:gradFill flip="none" rotWithShape="1">
          <a:gsLst>
            <a:gs pos="43363">
              <a:schemeClr val="accent5">
                <a:lumMod val="75000"/>
              </a:schemeClr>
            </a:gs>
            <a:gs pos="46000">
              <a:schemeClr val="accent5">
                <a:lumMod val="75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rPr>
            <a:t>Quadro</a:t>
          </a:r>
          <a:r>
            <a:rPr lang="en-GB" sz="2000" baseline="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rPr>
            <a:t> Kanban</a:t>
          </a:r>
          <a:endParaRPr lang="en-GB" sz="2000">
            <a:solidFill>
              <a:schemeClr val="bg1">
                <a:lumMod val="95000"/>
              </a:schemeClr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8</xdr:col>
      <xdr:colOff>557893</xdr:colOff>
      <xdr:row>1</xdr:row>
      <xdr:rowOff>81187</xdr:rowOff>
    </xdr:from>
    <xdr:to>
      <xdr:col>12</xdr:col>
      <xdr:colOff>335231</xdr:colOff>
      <xdr:row>10</xdr:row>
      <xdr:rowOff>81643</xdr:rowOff>
    </xdr:to>
    <xdr:grpSp>
      <xdr:nvGrpSpPr>
        <xdr:cNvPr id="21" name="Agrupar 20">
          <a:extLst>
            <a:ext uri="{FF2B5EF4-FFF2-40B4-BE49-F238E27FC236}">
              <a16:creationId xmlns:a16="http://schemas.microsoft.com/office/drawing/2014/main" id="{00000000-0008-0000-0300-000015000000}"/>
            </a:ext>
          </a:extLst>
        </xdr:cNvPr>
        <xdr:cNvGrpSpPr/>
      </xdr:nvGrpSpPr>
      <xdr:grpSpPr>
        <a:xfrm>
          <a:off x="5456464" y="761544"/>
          <a:ext cx="2226624" cy="2245635"/>
          <a:chOff x="5486400" y="1327601"/>
          <a:chExt cx="2216728" cy="2749099"/>
        </a:xfrm>
      </xdr:grpSpPr>
      <xdr:sp macro="" textlink="">
        <xdr:nvSpPr>
          <xdr:cNvPr id="178" name="Rectangle: Rounded Corners 34">
            <a:extLst>
              <a:ext uri="{FF2B5EF4-FFF2-40B4-BE49-F238E27FC236}">
                <a16:creationId xmlns:a16="http://schemas.microsoft.com/office/drawing/2014/main" id="{00000000-0008-0000-0300-0000B2000000}"/>
              </a:ext>
            </a:extLst>
          </xdr:cNvPr>
          <xdr:cNvSpPr>
            <a:spLocks/>
          </xdr:cNvSpPr>
        </xdr:nvSpPr>
        <xdr:spPr>
          <a:xfrm>
            <a:off x="5486401" y="1948768"/>
            <a:ext cx="2216727" cy="2127932"/>
          </a:xfrm>
          <a:prstGeom prst="roundRect">
            <a:avLst/>
          </a:prstGeom>
          <a:gradFill flip="none" rotWithShape="1">
            <a:gsLst>
              <a:gs pos="100000">
                <a:schemeClr val="accent4">
                  <a:lumMod val="75000"/>
                </a:schemeClr>
              </a:gs>
              <a:gs pos="100000">
                <a:schemeClr val="accent4">
                  <a:lumMod val="20000"/>
                  <a:lumOff val="80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endParaRPr>
          </a:p>
        </xdr:txBody>
      </xdr:sp>
      <xdr:sp macro="" textlink="">
        <xdr:nvSpPr>
          <xdr:cNvPr id="173" name="Rectangle: Rounded Corners 34">
            <a:extLst>
              <a:ext uri="{FF2B5EF4-FFF2-40B4-BE49-F238E27FC236}">
                <a16:creationId xmlns:a16="http://schemas.microsoft.com/office/drawing/2014/main" id="{00000000-0008-0000-0300-0000AD000000}"/>
              </a:ext>
            </a:extLst>
          </xdr:cNvPr>
          <xdr:cNvSpPr>
            <a:spLocks/>
          </xdr:cNvSpPr>
        </xdr:nvSpPr>
        <xdr:spPr>
          <a:xfrm>
            <a:off x="5486400" y="1327601"/>
            <a:ext cx="2216727" cy="463099"/>
          </a:xfrm>
          <a:prstGeom prst="roundRect">
            <a:avLst/>
          </a:prstGeom>
          <a:gradFill flip="none" rotWithShape="1">
            <a:gsLst>
              <a:gs pos="100000">
                <a:schemeClr val="accent4">
                  <a:lumMod val="75000"/>
                </a:schemeClr>
              </a:gs>
              <a:gs pos="100000">
                <a:schemeClr val="accent4">
                  <a:lumMod val="20000"/>
                  <a:lumOff val="80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3000" b="1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</a:rPr>
              <a:t>Dev</a:t>
            </a:r>
            <a:r>
              <a:rPr lang="en-GB" sz="3000" b="1" baseline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</a:rPr>
              <a:t> Plan</a:t>
            </a:r>
            <a:endParaRPr lang="en-GB" sz="3000" b="1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endParaRPr>
          </a:p>
        </xdr:txBody>
      </xdr:sp>
      <xdr:sp macro="" textlink="">
        <xdr:nvSpPr>
          <xdr:cNvPr id="181" name="lbl_DashboardPointsDevPlan">
            <a:extLst>
              <a:ext uri="{FF2B5EF4-FFF2-40B4-BE49-F238E27FC236}">
                <a16:creationId xmlns:a16="http://schemas.microsoft.com/office/drawing/2014/main" id="{00000000-0008-0000-0300-0000B5000000}"/>
              </a:ext>
            </a:extLst>
          </xdr:cNvPr>
          <xdr:cNvSpPr txBox="1"/>
        </xdr:nvSpPr>
        <xdr:spPr>
          <a:xfrm>
            <a:off x="5486400" y="2100707"/>
            <a:ext cx="2194559" cy="10107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marL="0" indent="0" algn="ctr"/>
            <a:r>
              <a:rPr lang="en-US" sz="6000" b="1" i="0" u="sng" strike="noStrike">
                <a:solidFill>
                  <a:schemeClr val="bg1"/>
                </a:solidFill>
                <a:latin typeface="Bahnschrift" panose="020B0502040204020203" pitchFamily="34" charset="0"/>
                <a:ea typeface="+mn-ea"/>
                <a:cs typeface="Arial"/>
              </a:rPr>
              <a:t>413</a:t>
            </a:r>
          </a:p>
        </xdr:txBody>
      </xdr:sp>
      <xdr:sp macro="" textlink="">
        <xdr:nvSpPr>
          <xdr:cNvPr id="182" name="CaixaDeTexto 181">
            <a:extLst>
              <a:ext uri="{FF2B5EF4-FFF2-40B4-BE49-F238E27FC236}">
                <a16:creationId xmlns:a16="http://schemas.microsoft.com/office/drawing/2014/main" id="{00000000-0008-0000-0300-0000B6000000}"/>
              </a:ext>
            </a:extLst>
          </xdr:cNvPr>
          <xdr:cNvSpPr txBox="1"/>
        </xdr:nvSpPr>
        <xdr:spPr>
          <a:xfrm>
            <a:off x="5486400" y="3302000"/>
            <a:ext cx="2208106" cy="6297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marL="0" indent="0" algn="ctr"/>
            <a:r>
              <a:rPr lang="en-US" sz="4000" b="1" i="0" u="sng" strike="noStrike">
                <a:solidFill>
                  <a:schemeClr val="bg1"/>
                </a:solidFill>
                <a:latin typeface="Bahnschrift" panose="020B0502040204020203" pitchFamily="34" charset="0"/>
                <a:ea typeface="+mn-ea"/>
                <a:cs typeface="Arial"/>
              </a:rPr>
              <a:t>pts</a:t>
            </a:r>
          </a:p>
        </xdr:txBody>
      </xdr:sp>
    </xdr:grpSp>
    <xdr:clientData/>
  </xdr:twoCellAnchor>
  <xdr:twoCellAnchor>
    <xdr:from>
      <xdr:col>13</xdr:col>
      <xdr:colOff>277087</xdr:colOff>
      <xdr:row>1</xdr:row>
      <xdr:rowOff>81187</xdr:rowOff>
    </xdr:from>
    <xdr:to>
      <xdr:col>17</xdr:col>
      <xdr:colOff>68031</xdr:colOff>
      <xdr:row>10</xdr:row>
      <xdr:rowOff>40821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pSpPr/>
      </xdr:nvGrpSpPr>
      <xdr:grpSpPr>
        <a:xfrm>
          <a:off x="8237266" y="761544"/>
          <a:ext cx="2240229" cy="2204813"/>
          <a:chOff x="8146473" y="1327601"/>
          <a:chExt cx="2230274" cy="2749099"/>
        </a:xfrm>
      </xdr:grpSpPr>
      <xdr:sp macro="" textlink="">
        <xdr:nvSpPr>
          <xdr:cNvPr id="174" name="Rectangle: Rounded Corners 34">
            <a:extLst>
              <a:ext uri="{FF2B5EF4-FFF2-40B4-BE49-F238E27FC236}">
                <a16:creationId xmlns:a16="http://schemas.microsoft.com/office/drawing/2014/main" id="{00000000-0008-0000-0300-0000AE000000}"/>
              </a:ext>
            </a:extLst>
          </xdr:cNvPr>
          <xdr:cNvSpPr>
            <a:spLocks/>
          </xdr:cNvSpPr>
        </xdr:nvSpPr>
        <xdr:spPr>
          <a:xfrm>
            <a:off x="8146473" y="1327601"/>
            <a:ext cx="2216727" cy="463099"/>
          </a:xfrm>
          <a:prstGeom prst="roundRect">
            <a:avLst/>
          </a:prstGeom>
          <a:gradFill flip="none" rotWithShape="1">
            <a:gsLst>
              <a:gs pos="100000">
                <a:srgbClr val="7030A0"/>
              </a:gs>
              <a:gs pos="100000">
                <a:srgbClr val="CCCCFF"/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3000" b="1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</a:rPr>
              <a:t>Dev</a:t>
            </a:r>
            <a:r>
              <a:rPr lang="en-GB" sz="3000" b="1" baseline="0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</a:rPr>
              <a:t> Done</a:t>
            </a:r>
            <a:endParaRPr lang="en-GB" sz="3000" b="1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endParaRPr>
          </a:p>
        </xdr:txBody>
      </xdr:sp>
      <xdr:sp macro="" textlink="">
        <xdr:nvSpPr>
          <xdr:cNvPr id="179" name="Rectangle: Rounded Corners 34">
            <a:extLst>
              <a:ext uri="{FF2B5EF4-FFF2-40B4-BE49-F238E27FC236}">
                <a16:creationId xmlns:a16="http://schemas.microsoft.com/office/drawing/2014/main" id="{00000000-0008-0000-0300-0000B3000000}"/>
              </a:ext>
            </a:extLst>
          </xdr:cNvPr>
          <xdr:cNvSpPr>
            <a:spLocks/>
          </xdr:cNvSpPr>
        </xdr:nvSpPr>
        <xdr:spPr>
          <a:xfrm>
            <a:off x="8146473" y="1948768"/>
            <a:ext cx="2216727" cy="2127932"/>
          </a:xfrm>
          <a:prstGeom prst="roundRect">
            <a:avLst/>
          </a:prstGeom>
          <a:gradFill flip="none" rotWithShape="1">
            <a:gsLst>
              <a:gs pos="100000">
                <a:srgbClr val="7030A0"/>
              </a:gs>
              <a:gs pos="100000">
                <a:srgbClr val="CCCCFF"/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pt-BR" sz="2000">
              <a:effectLst/>
            </a:endParaRPr>
          </a:p>
          <a:p>
            <a:pPr algn="ctr"/>
            <a:endParaRPr lang="en-GB" sz="20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endParaRPr>
          </a:p>
        </xdr:txBody>
      </xdr:sp>
      <xdr:sp macro="" textlink="">
        <xdr:nvSpPr>
          <xdr:cNvPr id="180" name="lbl_DashboardPointsDevDone">
            <a:extLst>
              <a:ext uri="{FF2B5EF4-FFF2-40B4-BE49-F238E27FC236}">
                <a16:creationId xmlns:a16="http://schemas.microsoft.com/office/drawing/2014/main" id="{00000000-0008-0000-0300-0000B4000000}"/>
              </a:ext>
            </a:extLst>
          </xdr:cNvPr>
          <xdr:cNvSpPr txBox="1"/>
        </xdr:nvSpPr>
        <xdr:spPr>
          <a:xfrm>
            <a:off x="8222826" y="2154734"/>
            <a:ext cx="2153921" cy="10107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marL="0" indent="0" algn="ctr"/>
            <a:r>
              <a:rPr lang="en-US" sz="6000" b="1" i="0" u="sng" strike="noStrike">
                <a:solidFill>
                  <a:schemeClr val="bg1"/>
                </a:solidFill>
                <a:latin typeface="Bahnschrift" panose="020B0502040204020203" pitchFamily="34" charset="0"/>
                <a:ea typeface="+mn-ea"/>
                <a:cs typeface="Arial"/>
              </a:rPr>
              <a:t>0</a:t>
            </a:r>
          </a:p>
        </xdr:txBody>
      </xdr:sp>
      <xdr:sp macro="" textlink="">
        <xdr:nvSpPr>
          <xdr:cNvPr id="183" name="CaixaDeTexto 182">
            <a:extLst>
              <a:ext uri="{FF2B5EF4-FFF2-40B4-BE49-F238E27FC236}">
                <a16:creationId xmlns:a16="http://schemas.microsoft.com/office/drawing/2014/main" id="{00000000-0008-0000-0300-0000B7000000}"/>
              </a:ext>
            </a:extLst>
          </xdr:cNvPr>
          <xdr:cNvSpPr txBox="1"/>
        </xdr:nvSpPr>
        <xdr:spPr>
          <a:xfrm>
            <a:off x="8886613" y="3242224"/>
            <a:ext cx="799253" cy="6297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marL="0" indent="0" algn="ctr"/>
            <a:r>
              <a:rPr lang="en-US" sz="4000" b="1" i="0" u="sng" strike="noStrike">
                <a:solidFill>
                  <a:schemeClr val="bg1"/>
                </a:solidFill>
                <a:latin typeface="Bahnschrift" panose="020B0502040204020203" pitchFamily="34" charset="0"/>
                <a:ea typeface="+mn-ea"/>
                <a:cs typeface="Arial"/>
              </a:rPr>
              <a:t>pts</a:t>
            </a:r>
          </a:p>
        </xdr:txBody>
      </xdr:sp>
    </xdr:grpSp>
    <xdr:clientData/>
  </xdr:twoCellAnchor>
  <xdr:twoCellAnchor>
    <xdr:from>
      <xdr:col>18</xdr:col>
      <xdr:colOff>421810</xdr:colOff>
      <xdr:row>1</xdr:row>
      <xdr:rowOff>67580</xdr:rowOff>
    </xdr:from>
    <xdr:to>
      <xdr:col>22</xdr:col>
      <xdr:colOff>199148</xdr:colOff>
      <xdr:row>10</xdr:row>
      <xdr:rowOff>40821</xdr:rowOff>
    </xdr:to>
    <xdr:grpSp>
      <xdr:nvGrpSpPr>
        <xdr:cNvPr id="184" name="Agrupar 183">
          <a:extLst>
            <a:ext uri="{FF2B5EF4-FFF2-40B4-BE49-F238E27FC236}">
              <a16:creationId xmlns:a16="http://schemas.microsoft.com/office/drawing/2014/main" id="{00000000-0008-0000-0300-0000B8000000}"/>
            </a:ext>
          </a:extLst>
        </xdr:cNvPr>
        <xdr:cNvGrpSpPr/>
      </xdr:nvGrpSpPr>
      <xdr:grpSpPr>
        <a:xfrm>
          <a:off x="11443596" y="747937"/>
          <a:ext cx="2226623" cy="2218420"/>
          <a:chOff x="5486400" y="1327601"/>
          <a:chExt cx="2216727" cy="2749099"/>
        </a:xfrm>
      </xdr:grpSpPr>
      <xdr:sp macro="" textlink="">
        <xdr:nvSpPr>
          <xdr:cNvPr id="185" name="Rectangle: Rounded Corners 3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SpPr>
            <a:spLocks/>
          </xdr:cNvSpPr>
        </xdr:nvSpPr>
        <xdr:spPr>
          <a:xfrm>
            <a:off x="5486400" y="1948768"/>
            <a:ext cx="2216727" cy="2127932"/>
          </a:xfrm>
          <a:prstGeom prst="roundRect">
            <a:avLst/>
          </a:prstGeom>
          <a:gradFill flip="none" rotWithShape="1">
            <a:gsLst>
              <a:gs pos="100000">
                <a:schemeClr val="accent1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GB" sz="20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endParaRPr>
          </a:p>
        </xdr:txBody>
      </xdr:sp>
      <xdr:sp macro="" textlink="">
        <xdr:nvSpPr>
          <xdr:cNvPr id="186" name="Rectangle: Rounded Corners 34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SpPr>
            <a:spLocks/>
          </xdr:cNvSpPr>
        </xdr:nvSpPr>
        <xdr:spPr>
          <a:xfrm>
            <a:off x="5486400" y="1327601"/>
            <a:ext cx="2216727" cy="463099"/>
          </a:xfrm>
          <a:prstGeom prst="roundRect">
            <a:avLst/>
          </a:prstGeom>
          <a:gradFill flip="none" rotWithShape="1">
            <a:gsLst>
              <a:gs pos="100000">
                <a:schemeClr val="accent1">
                  <a:lumMod val="75000"/>
                </a:schemeClr>
              </a:gs>
              <a:gs pos="100000">
                <a:schemeClr val="accent5">
                  <a:lumMod val="40000"/>
                  <a:lumOff val="60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3000" b="1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</a:rPr>
              <a:t>Planejado</a:t>
            </a:r>
          </a:p>
        </xdr:txBody>
      </xdr:sp>
      <xdr:sp macro="" textlink="">
        <xdr:nvSpPr>
          <xdr:cNvPr id="187" name="lbl_DashboardPointsDonePlan">
            <a:extLst>
              <a:ext uri="{FF2B5EF4-FFF2-40B4-BE49-F238E27FC236}">
                <a16:creationId xmlns:a16="http://schemas.microsoft.com/office/drawing/2014/main" id="{00000000-0008-0000-0300-0000BB000000}"/>
              </a:ext>
            </a:extLst>
          </xdr:cNvPr>
          <xdr:cNvSpPr txBox="1"/>
        </xdr:nvSpPr>
        <xdr:spPr>
          <a:xfrm>
            <a:off x="5486400" y="2100707"/>
            <a:ext cx="2194571" cy="10107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marL="0" indent="0" algn="ctr"/>
            <a:r>
              <a:rPr lang="en-US" sz="6000" b="1" i="0" u="sng" strike="noStrike">
                <a:solidFill>
                  <a:schemeClr val="bg1"/>
                </a:solidFill>
                <a:latin typeface="Bahnschrift" panose="020B0502040204020203" pitchFamily="34" charset="0"/>
                <a:ea typeface="+mn-ea"/>
                <a:cs typeface="Arial"/>
              </a:rPr>
              <a:t>413</a:t>
            </a:r>
          </a:p>
        </xdr:txBody>
      </xdr:sp>
      <xdr:sp macro="" textlink="">
        <xdr:nvSpPr>
          <xdr:cNvPr id="188" name="CaixaDeTexto 187">
            <a:extLst>
              <a:ext uri="{FF2B5EF4-FFF2-40B4-BE49-F238E27FC236}">
                <a16:creationId xmlns:a16="http://schemas.microsoft.com/office/drawing/2014/main" id="{00000000-0008-0000-0300-0000BC000000}"/>
              </a:ext>
            </a:extLst>
          </xdr:cNvPr>
          <xdr:cNvSpPr txBox="1"/>
        </xdr:nvSpPr>
        <xdr:spPr>
          <a:xfrm>
            <a:off x="5486400" y="3302000"/>
            <a:ext cx="2208106" cy="6297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marL="0" indent="0" algn="ctr"/>
            <a:r>
              <a:rPr lang="en-US" sz="4000" b="1" i="0" u="sng" strike="noStrike">
                <a:solidFill>
                  <a:schemeClr val="bg1"/>
                </a:solidFill>
                <a:latin typeface="Bahnschrift" panose="020B0502040204020203" pitchFamily="34" charset="0"/>
                <a:ea typeface="+mn-ea"/>
                <a:cs typeface="Arial"/>
              </a:rPr>
              <a:t>pts</a:t>
            </a:r>
          </a:p>
        </xdr:txBody>
      </xdr:sp>
    </xdr:grpSp>
    <xdr:clientData/>
  </xdr:twoCellAnchor>
  <xdr:twoCellAnchor>
    <xdr:from>
      <xdr:col>23</xdr:col>
      <xdr:colOff>217722</xdr:colOff>
      <xdr:row>1</xdr:row>
      <xdr:rowOff>81187</xdr:rowOff>
    </xdr:from>
    <xdr:to>
      <xdr:col>27</xdr:col>
      <xdr:colOff>13616</xdr:colOff>
      <xdr:row>9</xdr:row>
      <xdr:rowOff>176893</xdr:rowOff>
    </xdr:to>
    <xdr:grpSp>
      <xdr:nvGrpSpPr>
        <xdr:cNvPr id="189" name="Agrupar 188">
          <a:extLst>
            <a:ext uri="{FF2B5EF4-FFF2-40B4-BE49-F238E27FC236}">
              <a16:creationId xmlns:a16="http://schemas.microsoft.com/office/drawing/2014/main" id="{00000000-0008-0000-0300-0000BD000000}"/>
            </a:ext>
          </a:extLst>
        </xdr:cNvPr>
        <xdr:cNvGrpSpPr/>
      </xdr:nvGrpSpPr>
      <xdr:grpSpPr>
        <a:xfrm>
          <a:off x="14301115" y="761544"/>
          <a:ext cx="2245180" cy="2150385"/>
          <a:chOff x="8141547" y="1327601"/>
          <a:chExt cx="2235200" cy="2749099"/>
        </a:xfrm>
      </xdr:grpSpPr>
      <xdr:sp macro="" textlink="">
        <xdr:nvSpPr>
          <xdr:cNvPr id="190" name="Rectangle: Rounded Corners 34">
            <a:extLst>
              <a:ext uri="{FF2B5EF4-FFF2-40B4-BE49-F238E27FC236}">
                <a16:creationId xmlns:a16="http://schemas.microsoft.com/office/drawing/2014/main" id="{00000000-0008-0000-0300-0000BE000000}"/>
              </a:ext>
            </a:extLst>
          </xdr:cNvPr>
          <xdr:cNvSpPr>
            <a:spLocks/>
          </xdr:cNvSpPr>
        </xdr:nvSpPr>
        <xdr:spPr>
          <a:xfrm>
            <a:off x="8146473" y="1327601"/>
            <a:ext cx="2216727" cy="463099"/>
          </a:xfrm>
          <a:prstGeom prst="roundRect">
            <a:avLst/>
          </a:prstGeom>
          <a:gradFill flip="none" rotWithShape="1">
            <a:gsLst>
              <a:gs pos="100000">
                <a:schemeClr val="accent6">
                  <a:lumMod val="50000"/>
                </a:schemeClr>
              </a:gs>
              <a:gs pos="100000">
                <a:schemeClr val="accent6">
                  <a:lumMod val="75000"/>
                </a:schemeClr>
              </a:gs>
              <a:gs pos="100000">
                <a:schemeClr val="accent6">
                  <a:lumMod val="40000"/>
                  <a:lumOff val="60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3000" b="1">
                <a:solidFill>
                  <a:schemeClr val="bg1">
                    <a:lumMod val="95000"/>
                  </a:schemeClr>
                </a:solidFill>
                <a:latin typeface="Bahnschrift" panose="020B0502040204020203" pitchFamily="34" charset="0"/>
              </a:rPr>
              <a:t>Done</a:t>
            </a:r>
          </a:p>
        </xdr:txBody>
      </xdr:sp>
      <xdr:sp macro="" textlink="">
        <xdr:nvSpPr>
          <xdr:cNvPr id="191" name="Rectangle: Rounded Corners 34">
            <a:extLst>
              <a:ext uri="{FF2B5EF4-FFF2-40B4-BE49-F238E27FC236}">
                <a16:creationId xmlns:a16="http://schemas.microsoft.com/office/drawing/2014/main" id="{00000000-0008-0000-0300-0000BF000000}"/>
              </a:ext>
            </a:extLst>
          </xdr:cNvPr>
          <xdr:cNvSpPr>
            <a:spLocks/>
          </xdr:cNvSpPr>
        </xdr:nvSpPr>
        <xdr:spPr>
          <a:xfrm>
            <a:off x="8146473" y="1948768"/>
            <a:ext cx="2216727" cy="2127932"/>
          </a:xfrm>
          <a:prstGeom prst="roundRect">
            <a:avLst/>
          </a:prstGeom>
          <a:gradFill flip="none" rotWithShape="1">
            <a:gsLst>
              <a:gs pos="100000">
                <a:schemeClr val="accent6">
                  <a:lumMod val="50000"/>
                </a:schemeClr>
              </a:gs>
              <a:gs pos="100000">
                <a:schemeClr val="accent6">
                  <a:lumMod val="75000"/>
                </a:schemeClr>
              </a:gs>
              <a:gs pos="100000">
                <a:schemeClr val="accent6">
                  <a:lumMod val="40000"/>
                  <a:lumOff val="60000"/>
                </a:schemeClr>
              </a:gs>
            </a:gsLst>
            <a:lin ang="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pt-BR" sz="2000">
              <a:effectLst/>
            </a:endParaRPr>
          </a:p>
          <a:p>
            <a:pPr algn="ctr"/>
            <a:endParaRPr lang="en-GB" sz="20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endParaRPr>
          </a:p>
        </xdr:txBody>
      </xdr:sp>
      <xdr:sp macro="" textlink="">
        <xdr:nvSpPr>
          <xdr:cNvPr id="192" name="lbl_DashboardPointsDone">
            <a:extLst>
              <a:ext uri="{FF2B5EF4-FFF2-40B4-BE49-F238E27FC236}">
                <a16:creationId xmlns:a16="http://schemas.microsoft.com/office/drawing/2014/main" id="{00000000-0008-0000-0300-0000C0000000}"/>
              </a:ext>
            </a:extLst>
          </xdr:cNvPr>
          <xdr:cNvSpPr txBox="1"/>
        </xdr:nvSpPr>
        <xdr:spPr>
          <a:xfrm>
            <a:off x="8141547" y="2084722"/>
            <a:ext cx="2235200" cy="10107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marL="0" indent="0" algn="ctr"/>
            <a:r>
              <a:rPr lang="en-US" sz="6000" b="1" i="0" u="sng" strike="noStrike">
                <a:solidFill>
                  <a:schemeClr val="bg1"/>
                </a:solidFill>
                <a:latin typeface="Bahnschrift" panose="020B0502040204020203" pitchFamily="34" charset="0"/>
                <a:ea typeface="+mn-ea"/>
                <a:cs typeface="Arial"/>
              </a:rPr>
              <a:t>0</a:t>
            </a:r>
          </a:p>
        </xdr:txBody>
      </xdr:sp>
      <xdr:sp macro="" textlink="">
        <xdr:nvSpPr>
          <xdr:cNvPr id="193" name="CaixaDeTexto 192">
            <a:extLst>
              <a:ext uri="{FF2B5EF4-FFF2-40B4-BE49-F238E27FC236}">
                <a16:creationId xmlns:a16="http://schemas.microsoft.com/office/drawing/2014/main" id="{00000000-0008-0000-0300-0000C1000000}"/>
              </a:ext>
            </a:extLst>
          </xdr:cNvPr>
          <xdr:cNvSpPr txBox="1"/>
        </xdr:nvSpPr>
        <xdr:spPr>
          <a:xfrm>
            <a:off x="8182188" y="3314701"/>
            <a:ext cx="2140363" cy="6297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>
            <a:noAutofit/>
          </a:bodyPr>
          <a:lstStyle/>
          <a:p>
            <a:pPr marL="0" indent="0" algn="ctr"/>
            <a:r>
              <a:rPr lang="en-US" sz="4000" b="1" i="0" u="sng" strike="noStrike">
                <a:solidFill>
                  <a:schemeClr val="bg1"/>
                </a:solidFill>
                <a:latin typeface="Bahnschrift" panose="020B0502040204020203" pitchFamily="34" charset="0"/>
                <a:ea typeface="+mn-ea"/>
                <a:cs typeface="Arial"/>
              </a:rPr>
              <a:t>pts</a:t>
            </a:r>
          </a:p>
        </xdr:txBody>
      </xdr:sp>
    </xdr:grpSp>
    <xdr:clientData/>
  </xdr:twoCellAnchor>
  <xdr:twoCellAnchor>
    <xdr:from>
      <xdr:col>20</xdr:col>
      <xdr:colOff>244929</xdr:colOff>
      <xdr:row>11</xdr:row>
      <xdr:rowOff>56696</xdr:rowOff>
    </xdr:from>
    <xdr:to>
      <xdr:col>30</xdr:col>
      <xdr:colOff>552556</xdr:colOff>
      <xdr:row>28</xdr:row>
      <xdr:rowOff>23622</xdr:rowOff>
    </xdr:to>
    <xdr:grpSp>
      <xdr:nvGrpSpPr>
        <xdr:cNvPr id="194" name="Agrupar 193">
          <a:extLst>
            <a:ext uri="{FF2B5EF4-FFF2-40B4-BE49-F238E27FC236}">
              <a16:creationId xmlns:a16="http://schemas.microsoft.com/office/drawing/2014/main" id="{00000000-0008-0000-0300-0000C2000000}"/>
            </a:ext>
          </a:extLst>
        </xdr:cNvPr>
        <xdr:cNvGrpSpPr/>
      </xdr:nvGrpSpPr>
      <xdr:grpSpPr>
        <a:xfrm>
          <a:off x="12491358" y="3172732"/>
          <a:ext cx="6430841" cy="3205426"/>
          <a:chOff x="6019800" y="4162425"/>
          <a:chExt cx="6400800" cy="2984500"/>
        </a:xfrm>
        <a:noFill/>
      </xdr:grpSpPr>
      <xdr:graphicFrame macro="">
        <xdr:nvGraphicFramePr>
          <xdr:cNvPr id="195" name="Gráfico 194">
            <a:extLst>
              <a:ext uri="{FF2B5EF4-FFF2-40B4-BE49-F238E27FC236}">
                <a16:creationId xmlns:a16="http://schemas.microsoft.com/office/drawing/2014/main" id="{00000000-0008-0000-0300-0000C3000000}"/>
              </a:ext>
            </a:extLst>
          </xdr:cNvPr>
          <xdr:cNvGraphicFramePr>
            <a:graphicFrameLocks/>
          </xdr:cNvGraphicFramePr>
        </xdr:nvGraphicFramePr>
        <xdr:xfrm>
          <a:off x="6019800" y="4162425"/>
          <a:ext cx="6400800" cy="29845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Summary!XEF1048546">
        <xdr:nvSpPr>
          <xdr:cNvPr id="196" name="CaixaDeTexto 195">
            <a:extLst>
              <a:ext uri="{FF2B5EF4-FFF2-40B4-BE49-F238E27FC236}">
                <a16:creationId xmlns:a16="http://schemas.microsoft.com/office/drawing/2014/main" id="{00000000-0008-0000-0300-0000C4000000}"/>
              </a:ext>
            </a:extLst>
          </xdr:cNvPr>
          <xdr:cNvSpPr txBox="1"/>
        </xdr:nvSpPr>
        <xdr:spPr>
          <a:xfrm>
            <a:off x="6388100" y="5643376"/>
            <a:ext cx="2489200" cy="630424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marL="0" indent="0" algn="ctr"/>
            <a:fld id="{0F60F948-5E01-454B-BB88-C30B7BBFE7C6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+mn-ea"/>
                <a:cs typeface="Calibri"/>
              </a:rPr>
              <a:pPr marL="0" indent="0" algn="ctr"/>
              <a:t> </a:t>
            </a:fld>
            <a:endParaRPr lang="en-US" sz="4000" b="1" i="0" u="none" strike="noStrike">
              <a:solidFill>
                <a:schemeClr val="accent5">
                  <a:lumMod val="50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Summary!F3">
        <xdr:nvSpPr>
          <xdr:cNvPr id="197" name="CaixaDeTexto 196">
            <a:extLst>
              <a:ext uri="{FF2B5EF4-FFF2-40B4-BE49-F238E27FC236}">
                <a16:creationId xmlns:a16="http://schemas.microsoft.com/office/drawing/2014/main" id="{00000000-0008-0000-0300-0000C5000000}"/>
              </a:ext>
            </a:extLst>
          </xdr:cNvPr>
          <xdr:cNvSpPr txBox="1"/>
        </xdr:nvSpPr>
        <xdr:spPr>
          <a:xfrm>
            <a:off x="6317759" y="6113498"/>
            <a:ext cx="2437843" cy="362136"/>
          </a:xfrm>
          <a:prstGeom prst="rect">
            <a:avLst/>
          </a:prstGeom>
          <a:grp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marL="0" indent="0" algn="ctr"/>
            <a:fld id="{00FA9707-44E4-4D12-9DB5-19CAD71C7746}" type="TxLink">
              <a:rPr lang="en-US" sz="2500" b="1" i="0" u="none" strike="noStrike">
                <a:solidFill>
                  <a:schemeClr val="accent5">
                    <a:lumMod val="50000"/>
                  </a:schemeClr>
                </a:solidFill>
                <a:latin typeface="Bahnschrift" panose="020B0502040204020203" pitchFamily="34" charset="0"/>
                <a:ea typeface="+mn-ea"/>
                <a:cs typeface="Calibri"/>
              </a:rPr>
              <a:pPr marL="0" indent="0" algn="ctr"/>
              <a:t>Ruim</a:t>
            </a:fld>
            <a:endParaRPr lang="pt-BR" sz="2500" b="1" i="0" u="sng" strike="noStrike">
              <a:solidFill>
                <a:schemeClr val="accent5">
                  <a:lumMod val="50000"/>
                </a:schemeClr>
              </a:solidFill>
              <a:latin typeface="Bahnschrift" panose="020B0502040204020203" pitchFamily="34" charset="0"/>
              <a:ea typeface="+mn-ea"/>
              <a:cs typeface="Calibri"/>
            </a:endParaRPr>
          </a:p>
        </xdr:txBody>
      </xdr:sp>
    </xdr:grpSp>
    <xdr:clientData/>
  </xdr:twoCellAnchor>
  <xdr:twoCellAnchor editAs="absolute">
    <xdr:from>
      <xdr:col>1</xdr:col>
      <xdr:colOff>0</xdr:colOff>
      <xdr:row>33</xdr:row>
      <xdr:rowOff>108401</xdr:rowOff>
    </xdr:from>
    <xdr:to>
      <xdr:col>4</xdr:col>
      <xdr:colOff>0</xdr:colOff>
      <xdr:row>36</xdr:row>
      <xdr:rowOff>0</xdr:rowOff>
    </xdr:to>
    <xdr:sp macro="" textlink="">
      <xdr:nvSpPr>
        <xdr:cNvPr id="201" name="Rectangle: Rounded Corners 34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SpPr>
          <a:spLocks/>
        </xdr:cNvSpPr>
      </xdr:nvSpPr>
      <xdr:spPr>
        <a:xfrm>
          <a:off x="612321" y="7415437"/>
          <a:ext cx="1836965" cy="463099"/>
        </a:xfrm>
        <a:prstGeom prst="roundRect">
          <a:avLst/>
        </a:prstGeom>
        <a:gradFill flip="none" rotWithShape="1">
          <a:gsLst>
            <a:gs pos="43363">
              <a:schemeClr val="accent5">
                <a:lumMod val="75000"/>
              </a:schemeClr>
            </a:gs>
            <a:gs pos="46000">
              <a:schemeClr val="accent5">
                <a:lumMod val="75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rPr>
            <a:t>Desenvolvimento</a:t>
          </a:r>
        </a:p>
      </xdr:txBody>
    </xdr:sp>
    <xdr:clientData/>
  </xdr:twoCellAnchor>
  <xdr:twoCellAnchor editAs="absolute">
    <xdr:from>
      <xdr:col>21</xdr:col>
      <xdr:colOff>2720</xdr:colOff>
      <xdr:row>33</xdr:row>
      <xdr:rowOff>108401</xdr:rowOff>
    </xdr:from>
    <xdr:to>
      <xdr:col>24</xdr:col>
      <xdr:colOff>0</xdr:colOff>
      <xdr:row>36</xdr:row>
      <xdr:rowOff>0</xdr:rowOff>
    </xdr:to>
    <xdr:sp macro="" textlink="">
      <xdr:nvSpPr>
        <xdr:cNvPr id="202" name="Rectangle: Rounded Corners 34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SpPr>
          <a:spLocks/>
        </xdr:cNvSpPr>
      </xdr:nvSpPr>
      <xdr:spPr>
        <a:xfrm>
          <a:off x="12858749" y="7415437"/>
          <a:ext cx="1836965" cy="463099"/>
        </a:xfrm>
        <a:prstGeom prst="roundRect">
          <a:avLst/>
        </a:prstGeom>
        <a:gradFill flip="none" rotWithShape="1">
          <a:gsLst>
            <a:gs pos="43363">
              <a:schemeClr val="accent5">
                <a:lumMod val="75000"/>
              </a:schemeClr>
            </a:gs>
            <a:gs pos="46000">
              <a:schemeClr val="accent5">
                <a:lumMod val="75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rPr>
            <a:t>Done</a:t>
          </a:r>
        </a:p>
      </xdr:txBody>
    </xdr:sp>
    <xdr:clientData/>
  </xdr:twoCellAnchor>
  <xdr:twoCellAnchor>
    <xdr:from>
      <xdr:col>4</xdr:col>
      <xdr:colOff>40824</xdr:colOff>
      <xdr:row>33</xdr:row>
      <xdr:rowOff>126884</xdr:rowOff>
    </xdr:from>
    <xdr:to>
      <xdr:col>5</xdr:col>
      <xdr:colOff>530681</xdr:colOff>
      <xdr:row>35</xdr:row>
      <xdr:rowOff>176892</xdr:rowOff>
    </xdr:to>
    <xdr:sp macro="" textlink="">
      <xdr:nvSpPr>
        <xdr:cNvPr id="203" name="lbl_DashboardPercDevPlan">
          <a:extLst>
            <a:ext uri="{FF2B5EF4-FFF2-40B4-BE49-F238E27FC236}">
              <a16:creationId xmlns:a16="http://schemas.microsoft.com/office/drawing/2014/main" id="{00000000-0008-0000-0300-0000CB000000}"/>
            </a:ext>
          </a:extLst>
        </xdr:cNvPr>
        <xdr:cNvSpPr>
          <a:spLocks/>
        </xdr:cNvSpPr>
      </xdr:nvSpPr>
      <xdr:spPr>
        <a:xfrm>
          <a:off x="2490110" y="7433920"/>
          <a:ext cx="1102178" cy="431008"/>
        </a:xfrm>
        <a:prstGeom prst="roundRect">
          <a:avLst/>
        </a:prstGeom>
        <a:gradFill flip="none" rotWithShape="1">
          <a:gsLst>
            <a:gs pos="100000">
              <a:schemeClr val="accent4">
                <a:lumMod val="75000"/>
              </a:schemeClr>
            </a:gs>
            <a:gs pos="100000">
              <a:schemeClr val="accent4">
                <a:lumMod val="20000"/>
                <a:lumOff val="8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rPr>
            <a:t>100%</a:t>
          </a:r>
        </a:p>
      </xdr:txBody>
    </xdr:sp>
    <xdr:clientData/>
  </xdr:twoCellAnchor>
  <xdr:twoCellAnchor>
    <xdr:from>
      <xdr:col>6</xdr:col>
      <xdr:colOff>29688</xdr:colOff>
      <xdr:row>33</xdr:row>
      <xdr:rowOff>126884</xdr:rowOff>
    </xdr:from>
    <xdr:to>
      <xdr:col>7</xdr:col>
      <xdr:colOff>530679</xdr:colOff>
      <xdr:row>35</xdr:row>
      <xdr:rowOff>176892</xdr:rowOff>
    </xdr:to>
    <xdr:sp macro="" textlink="">
      <xdr:nvSpPr>
        <xdr:cNvPr id="204" name="lbl_DashboardPercDevDone">
          <a:extLst>
            <a:ext uri="{FF2B5EF4-FFF2-40B4-BE49-F238E27FC236}">
              <a16:creationId xmlns:a16="http://schemas.microsoft.com/office/drawing/2014/main" id="{00000000-0008-0000-0300-0000CC000000}"/>
            </a:ext>
          </a:extLst>
        </xdr:cNvPr>
        <xdr:cNvSpPr>
          <a:spLocks/>
        </xdr:cNvSpPr>
      </xdr:nvSpPr>
      <xdr:spPr>
        <a:xfrm>
          <a:off x="3703617" y="7433920"/>
          <a:ext cx="1113312" cy="431008"/>
        </a:xfrm>
        <a:prstGeom prst="roundRect">
          <a:avLst/>
        </a:prstGeom>
        <a:gradFill flip="none" rotWithShape="1">
          <a:gsLst>
            <a:gs pos="99094">
              <a:srgbClr val="CBCAFD"/>
            </a:gs>
            <a:gs pos="96000">
              <a:srgbClr val="7030A0"/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6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rPr>
            <a:t>0%</a:t>
          </a:r>
        </a:p>
      </xdr:txBody>
    </xdr:sp>
    <xdr:clientData/>
  </xdr:twoCellAnchor>
  <xdr:twoCellAnchor>
    <xdr:from>
      <xdr:col>24</xdr:col>
      <xdr:colOff>82033</xdr:colOff>
      <xdr:row>33</xdr:row>
      <xdr:rowOff>140492</xdr:rowOff>
    </xdr:from>
    <xdr:to>
      <xdr:col>26</xdr:col>
      <xdr:colOff>0</xdr:colOff>
      <xdr:row>36</xdr:row>
      <xdr:rowOff>0</xdr:rowOff>
    </xdr:to>
    <xdr:sp macro="" textlink="">
      <xdr:nvSpPr>
        <xdr:cNvPr id="205" name="lbl_DashboardPercPlan">
          <a:extLst>
            <a:ext uri="{FF2B5EF4-FFF2-40B4-BE49-F238E27FC236}">
              <a16:creationId xmlns:a16="http://schemas.microsoft.com/office/drawing/2014/main" id="{00000000-0008-0000-0300-0000CD000000}"/>
            </a:ext>
          </a:extLst>
        </xdr:cNvPr>
        <xdr:cNvSpPr>
          <a:spLocks/>
        </xdr:cNvSpPr>
      </xdr:nvSpPr>
      <xdr:spPr>
        <a:xfrm>
          <a:off x="14777747" y="7447528"/>
          <a:ext cx="1142610" cy="431008"/>
        </a:xfrm>
        <a:prstGeom prst="roundRect">
          <a:avLst/>
        </a:prstGeom>
        <a:gradFill flip="none" rotWithShape="1">
          <a:gsLst>
            <a:gs pos="100000">
              <a:schemeClr val="accent1">
                <a:lumMod val="75000"/>
              </a:schemeClr>
            </a:gs>
            <a:gs pos="100000">
              <a:schemeClr val="accent5">
                <a:lumMod val="40000"/>
                <a:lumOff val="6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rPr>
            <a:t>100%</a:t>
          </a:r>
        </a:p>
      </xdr:txBody>
    </xdr:sp>
    <xdr:clientData/>
  </xdr:twoCellAnchor>
  <xdr:twoCellAnchor>
    <xdr:from>
      <xdr:col>26</xdr:col>
      <xdr:colOff>82033</xdr:colOff>
      <xdr:row>33</xdr:row>
      <xdr:rowOff>140492</xdr:rowOff>
    </xdr:from>
    <xdr:to>
      <xdr:col>28</xdr:col>
      <xdr:colOff>0</xdr:colOff>
      <xdr:row>36</xdr:row>
      <xdr:rowOff>0</xdr:rowOff>
    </xdr:to>
    <xdr:sp macro="" textlink="">
      <xdr:nvSpPr>
        <xdr:cNvPr id="206" name="lbl_DashboardPercDone">
          <a:extLst>
            <a:ext uri="{FF2B5EF4-FFF2-40B4-BE49-F238E27FC236}">
              <a16:creationId xmlns:a16="http://schemas.microsoft.com/office/drawing/2014/main" id="{00000000-0008-0000-0300-0000CE000000}"/>
            </a:ext>
          </a:extLst>
        </xdr:cNvPr>
        <xdr:cNvSpPr>
          <a:spLocks/>
        </xdr:cNvSpPr>
      </xdr:nvSpPr>
      <xdr:spPr>
        <a:xfrm>
          <a:off x="16002390" y="7447528"/>
          <a:ext cx="1142610" cy="431008"/>
        </a:xfrm>
        <a:prstGeom prst="roundRect">
          <a:avLst/>
        </a:prstGeom>
        <a:gradFill flip="none" rotWithShape="1">
          <a:gsLst>
            <a:gs pos="100000">
              <a:schemeClr val="accent6">
                <a:lumMod val="50000"/>
              </a:schemeClr>
            </a:gs>
            <a:gs pos="100000">
              <a:schemeClr val="accent6">
                <a:lumMod val="75000"/>
              </a:schemeClr>
            </a:gs>
            <a:gs pos="100000">
              <a:schemeClr val="accent6">
                <a:lumMod val="40000"/>
                <a:lumOff val="60000"/>
              </a:schemeClr>
            </a:gs>
          </a:gsLst>
          <a:lin ang="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800">
              <a:solidFill>
                <a:schemeClr val="bg1">
                  <a:lumMod val="95000"/>
                </a:schemeClr>
              </a:solidFill>
              <a:latin typeface="Bahnschrift" panose="020B0502040204020203" pitchFamily="34" charset="0"/>
            </a:rPr>
            <a:t>0%</a:t>
          </a:r>
        </a:p>
      </xdr:txBody>
    </xdr:sp>
    <xdr:clientData/>
  </xdr:twoCellAnchor>
  <xdr:twoCellAnchor>
    <xdr:from>
      <xdr:col>18</xdr:col>
      <xdr:colOff>0</xdr:colOff>
      <xdr:row>0</xdr:row>
      <xdr:rowOff>607507</xdr:rowOff>
    </xdr:from>
    <xdr:to>
      <xdr:col>18</xdr:col>
      <xdr:colOff>0</xdr:colOff>
      <xdr:row>30</xdr:row>
      <xdr:rowOff>0</xdr:rowOff>
    </xdr:to>
    <xdr:cxnSp macro="">
      <xdr:nvCxnSpPr>
        <xdr:cNvPr id="24" name="Conector reto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CxnSpPr/>
      </xdr:nvCxnSpPr>
      <xdr:spPr>
        <a:xfrm>
          <a:off x="11021786" y="607507"/>
          <a:ext cx="0" cy="6128029"/>
        </a:xfrm>
        <a:prstGeom prst="line">
          <a:avLst/>
        </a:prstGeom>
        <a:ln w="28575" cap="rnd">
          <a:solidFill>
            <a:schemeClr val="accent5">
              <a:lumMod val="75000"/>
            </a:schemeClr>
          </a:solidFill>
          <a:prstDash val="lg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454479</xdr:colOff>
      <xdr:row>19</xdr:row>
      <xdr:rowOff>68035</xdr:rowOff>
    </xdr:from>
    <xdr:to>
      <xdr:col>25</xdr:col>
      <xdr:colOff>213179</xdr:colOff>
      <xdr:row>22</xdr:row>
      <xdr:rowOff>173626</xdr:rowOff>
    </xdr:to>
    <xdr:sp macro="" textlink="Summary!B3">
      <xdr:nvSpPr>
        <xdr:cNvPr id="207" name="lbl_VelocityDone">
          <a:extLst>
            <a:ext uri="{FF2B5EF4-FFF2-40B4-BE49-F238E27FC236}">
              <a16:creationId xmlns:a16="http://schemas.microsoft.com/office/drawing/2014/main" id="{00000000-0008-0000-0300-0000CF000000}"/>
            </a:ext>
          </a:extLst>
        </xdr:cNvPr>
        <xdr:cNvSpPr txBox="1"/>
      </xdr:nvSpPr>
      <xdr:spPr>
        <a:xfrm>
          <a:off x="12700908" y="4708071"/>
          <a:ext cx="2820307" cy="67709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indent="0" algn="ctr"/>
          <a:fld id="{DE01FD60-EACB-47AE-86A7-9B4EBCA57AC6}" type="TxLink">
            <a:rPr lang="en-US" sz="4000" b="1" i="0" u="none" strike="noStrike">
              <a:solidFill>
                <a:schemeClr val="accent5">
                  <a:lumMod val="50000"/>
                </a:schemeClr>
              </a:solidFill>
              <a:latin typeface="Arail"/>
              <a:ea typeface="+mn-ea"/>
              <a:cs typeface="Arial" panose="020B0604020202020204" pitchFamily="34" charset="0"/>
            </a:rPr>
            <a:pPr marL="0" indent="0" algn="ctr"/>
            <a:t>0%</a:t>
          </a:fld>
          <a:endParaRPr lang="en-US" sz="4000" b="1" i="0" u="none" strike="noStrike">
            <a:solidFill>
              <a:schemeClr val="accent5">
                <a:lumMod val="50000"/>
              </a:schemeClr>
            </a:solidFill>
            <a:latin typeface="Arial" panose="020B0604020202020204" pitchFamily="34" charset="0"/>
            <a:ea typeface="+mn-ea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36</xdr:row>
      <xdr:rowOff>0</xdr:rowOff>
    </xdr:from>
    <xdr:to>
      <xdr:col>28</xdr:col>
      <xdr:colOff>217715</xdr:colOff>
      <xdr:row>71</xdr:row>
      <xdr:rowOff>54428</xdr:rowOff>
    </xdr:to>
    <xdr:graphicFrame macro="">
      <xdr:nvGraphicFramePr>
        <xdr:cNvPr id="73" name="GraficoBurnup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0.21702</cdr:x>
      <cdr:y>0.42973</cdr:y>
    </cdr:from>
    <cdr:to>
      <cdr:x>0.24468</cdr:x>
      <cdr:y>0.5</cdr:y>
    </cdr:to>
    <cdr:sp macro="" textlink="">
      <cdr:nvSpPr>
        <cdr:cNvPr id="2" name="Elipse 1"/>
        <cdr:cNvSpPr/>
      </cdr:nvSpPr>
      <cdr:spPr>
        <a:xfrm xmlns:a="http://schemas.openxmlformats.org/drawingml/2006/main">
          <a:off x="1143000" y="1069040"/>
          <a:ext cx="145676" cy="174811"/>
        </a:xfrm>
        <a:prstGeom xmlns:a="http://schemas.openxmlformats.org/drawingml/2006/main" prst="ellipse">
          <a:avLst/>
        </a:prstGeom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0.02742</cdr:x>
      <cdr:y>0.05179</cdr:y>
    </cdr:from>
    <cdr:to>
      <cdr:x>0.44444</cdr:x>
      <cdr:y>0.91489</cdr:y>
    </cdr:to>
    <cdr:sp macro="" textlink="">
      <cdr:nvSpPr>
        <cdr:cNvPr id="9" name="Rosca 8"/>
        <cdr:cNvSpPr/>
      </cdr:nvSpPr>
      <cdr:spPr>
        <a:xfrm xmlns:a="http://schemas.openxmlformats.org/drawingml/2006/main">
          <a:off x="175539" y="154573"/>
          <a:ext cx="2669261" cy="2575927"/>
        </a:xfrm>
        <a:prstGeom xmlns:a="http://schemas.openxmlformats.org/drawingml/2006/main" prst="donut">
          <a:avLst>
            <a:gd name="adj" fmla="val 4291"/>
          </a:avLst>
        </a:prstGeom>
        <a:ln xmlns:a="http://schemas.openxmlformats.org/drawingml/2006/main">
          <a:noFill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  <a:scene3d xmlns:a="http://schemas.openxmlformats.org/drawingml/2006/main">
          <a:camera prst="orthographicFront">
            <a:rot lat="0" lon="0" rev="0"/>
          </a:camera>
          <a:lightRig rig="contrasting" dir="t">
            <a:rot lat="0" lon="0" rev="1500000"/>
          </a:lightRig>
        </a:scene3d>
        <a:sp3d xmlns:a="http://schemas.openxmlformats.org/drawingml/2006/main" prstMaterial="metal">
          <a:bevelT w="88900" h="88900"/>
        </a:sp3d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marL="0" indent="0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0.21702</cdr:x>
      <cdr:y>0.42973</cdr:y>
    </cdr:from>
    <cdr:to>
      <cdr:x>0.24468</cdr:x>
      <cdr:y>0.5</cdr:y>
    </cdr:to>
    <cdr:sp macro="" textlink="">
      <cdr:nvSpPr>
        <cdr:cNvPr id="2" name="Elipse 1"/>
        <cdr:cNvSpPr/>
      </cdr:nvSpPr>
      <cdr:spPr>
        <a:xfrm xmlns:a="http://schemas.openxmlformats.org/drawingml/2006/main">
          <a:off x="1143000" y="1069040"/>
          <a:ext cx="145676" cy="174811"/>
        </a:xfrm>
        <a:prstGeom xmlns:a="http://schemas.openxmlformats.org/drawingml/2006/main" prst="ellipse">
          <a:avLst/>
        </a:prstGeom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pt-BR"/>
        </a:p>
      </cdr:txBody>
    </cdr:sp>
  </cdr:relSizeAnchor>
  <cdr:relSizeAnchor xmlns:cdr="http://schemas.openxmlformats.org/drawingml/2006/chartDrawing">
    <cdr:from>
      <cdr:x>0.02742</cdr:x>
      <cdr:y>0.05179</cdr:y>
    </cdr:from>
    <cdr:to>
      <cdr:x>0.44444</cdr:x>
      <cdr:y>0.91489</cdr:y>
    </cdr:to>
    <cdr:sp macro="" textlink="">
      <cdr:nvSpPr>
        <cdr:cNvPr id="9" name="Rosca 8"/>
        <cdr:cNvSpPr/>
      </cdr:nvSpPr>
      <cdr:spPr>
        <a:xfrm xmlns:a="http://schemas.openxmlformats.org/drawingml/2006/main">
          <a:off x="175539" y="154573"/>
          <a:ext cx="2669261" cy="2575927"/>
        </a:xfrm>
        <a:prstGeom xmlns:a="http://schemas.openxmlformats.org/drawingml/2006/main" prst="donut">
          <a:avLst>
            <a:gd name="adj" fmla="val 4291"/>
          </a:avLst>
        </a:prstGeom>
        <a:ln xmlns:a="http://schemas.openxmlformats.org/drawingml/2006/main">
          <a:noFill/>
        </a:ln>
        <a:effectLst xmlns:a="http://schemas.openxmlformats.org/drawingml/2006/main">
          <a:outerShdw blurRad="50800" dist="38100" dir="2700000" algn="tl" rotWithShape="0">
            <a:prstClr val="black">
              <a:alpha val="40000"/>
            </a:prstClr>
          </a:outerShdw>
        </a:effectLst>
        <a:scene3d xmlns:a="http://schemas.openxmlformats.org/drawingml/2006/main">
          <a:camera prst="orthographicFront">
            <a:rot lat="0" lon="0" rev="0"/>
          </a:camera>
          <a:lightRig rig="contrasting" dir="t">
            <a:rot lat="0" lon="0" rev="1500000"/>
          </a:lightRig>
        </a:scene3d>
        <a:sp3d xmlns:a="http://schemas.openxmlformats.org/drawingml/2006/main" prstMaterial="metal">
          <a:bevelT w="88900" h="88900"/>
        </a:sp3d>
      </cdr:spPr>
      <cdr:style>
        <a:lnRef xmlns:a="http://schemas.openxmlformats.org/drawingml/2006/main" idx="2">
          <a:schemeClr val="dk1">
            <a:shade val="50000"/>
          </a:schemeClr>
        </a:lnRef>
        <a:fillRef xmlns:a="http://schemas.openxmlformats.org/drawingml/2006/main" idx="1">
          <a:schemeClr val="dk1"/>
        </a:fillRef>
        <a:effectRef xmlns:a="http://schemas.openxmlformats.org/drawingml/2006/main" idx="0">
          <a:schemeClr val="dk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pPr marL="0" indent="0"/>
          <a:endParaRPr lang="pt-BR" sz="1100">
            <a:solidFill>
              <a:schemeClr val="lt1"/>
            </a:solidFill>
            <a:latin typeface="+mn-lt"/>
            <a:ea typeface="+mn-ea"/>
            <a:cs typeface="+mn-cs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2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8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11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51</xdr:row>
      <xdr:rowOff>32658</xdr:rowOff>
    </xdr:from>
    <xdr:to>
      <xdr:col>13</xdr:col>
      <xdr:colOff>16327</xdr:colOff>
      <xdr:row>80</xdr:row>
      <xdr:rowOff>48645</xdr:rowOff>
    </xdr:to>
    <xdr:graphicFrame macro="">
      <xdr:nvGraphicFramePr>
        <xdr:cNvPr id="3" name="GraficoBurnup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0</xdr:colOff>
      <xdr:row>69</xdr:row>
      <xdr:rowOff>137433</xdr:rowOff>
    </xdr:from>
    <xdr:to>
      <xdr:col>16</xdr:col>
      <xdr:colOff>359227</xdr:colOff>
      <xdr:row>98</xdr:row>
      <xdr:rowOff>153420</xdr:rowOff>
    </xdr:to>
    <xdr:graphicFrame macro="">
      <xdr:nvGraphicFramePr>
        <xdr:cNvPr id="4" name="GraficoBurnup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0</xdr:colOff>
      <xdr:row>0</xdr:row>
      <xdr:rowOff>121012</xdr:rowOff>
    </xdr:from>
    <xdr:to>
      <xdr:col>1</xdr:col>
      <xdr:colOff>544650</xdr:colOff>
      <xdr:row>0</xdr:row>
      <xdr:rowOff>481012</xdr:rowOff>
    </xdr:to>
    <xdr:sp macro="" textlink="">
      <xdr:nvSpPr>
        <xdr:cNvPr id="5" name="Retângulo Arredondad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0" y="121012"/>
          <a:ext cx="1440000" cy="360000"/>
        </a:xfrm>
        <a:prstGeom prst="roundRect">
          <a:avLst/>
        </a:prstGeom>
        <a:gradFill flip="none" rotWithShape="1">
          <a:gsLst>
            <a:gs pos="38000">
              <a:srgbClr val="4472C4">
                <a:lumMod val="75000"/>
              </a:srgbClr>
            </a:gs>
            <a:gs pos="100000">
              <a:srgbClr val="4472C4">
                <a:lumMod val="40000"/>
                <a:lumOff val="60000"/>
              </a:srgbClr>
            </a:gs>
            <a:gs pos="100000">
              <a:srgbClr val="4472C4">
                <a:lumMod val="105000"/>
                <a:satMod val="109000"/>
                <a:tint val="81000"/>
              </a:srgbClr>
            </a:gs>
          </a:gsLst>
          <a:lin ang="2700000" scaled="1"/>
          <a:tileRect/>
        </a:gradFill>
        <a:ln w="6350" cap="flat" cmpd="sng" algn="ctr">
          <a:noFill/>
          <a:prstDash val="solid"/>
          <a:miter lim="800000"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Bahnschrift" panose="020B0502040204020203" pitchFamily="34" charset="0"/>
              <a:ea typeface="+mn-ea"/>
              <a:cs typeface="+mn-cs"/>
            </a:rPr>
            <a:t>Home</a:t>
          </a:r>
        </a:p>
      </xdr:txBody>
    </xdr:sp>
    <xdr:clientData/>
  </xdr:twoCellAnchor>
  <xdr:twoCellAnchor editAs="absolute">
    <xdr:from>
      <xdr:col>2</xdr:col>
      <xdr:colOff>19050</xdr:colOff>
      <xdr:row>0</xdr:row>
      <xdr:rowOff>121012</xdr:rowOff>
    </xdr:from>
    <xdr:to>
      <xdr:col>3</xdr:col>
      <xdr:colOff>858975</xdr:colOff>
      <xdr:row>0</xdr:row>
      <xdr:rowOff>481012</xdr:rowOff>
    </xdr:to>
    <xdr:sp macro="" textlink="">
      <xdr:nvSpPr>
        <xdr:cNvPr id="6" name="Retângulo Arredondad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1571625" y="121012"/>
          <a:ext cx="1440000" cy="360000"/>
        </a:xfrm>
        <a:prstGeom prst="roundRect">
          <a:avLst/>
        </a:prstGeom>
        <a:gradFill flip="none" rotWithShape="1">
          <a:gsLst>
            <a:gs pos="62000">
              <a:srgbClr val="7030A0"/>
            </a:gs>
            <a:gs pos="100000">
              <a:srgbClr val="CC99FF"/>
            </a:gs>
          </a:gsLst>
          <a:lin ang="2700000" scaled="1"/>
          <a:tileRect/>
        </a:gradFill>
        <a:ln w="6350" cap="flat" cmpd="sng" algn="ctr">
          <a:noFill/>
          <a:prstDash val="solid"/>
          <a:miter lim="800000"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Bahnschrift" panose="020B0502040204020203" pitchFamily="34" charset="0"/>
              <a:ea typeface="+mn-ea"/>
              <a:cs typeface="+mn-cs"/>
            </a:rPr>
            <a:t>Kanban</a:t>
          </a:r>
        </a:p>
      </xdr:txBody>
    </xdr:sp>
    <xdr:clientData/>
  </xdr:twoCell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2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8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11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2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8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11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</c:userShapes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666750</xdr:colOff>
          <xdr:row>0</xdr:row>
          <xdr:rowOff>200025</xdr:rowOff>
        </xdr:from>
        <xdr:to>
          <xdr:col>3</xdr:col>
          <xdr:colOff>752475</xdr:colOff>
          <xdr:row>0</xdr:row>
          <xdr:rowOff>485775</xdr:rowOff>
        </xdr:to>
        <xdr:sp macro="" textlink="">
          <xdr:nvSpPr>
            <xdr:cNvPr id="3075" name="chkPopulatFreePoin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5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116250</xdr:rowOff>
    </xdr:from>
    <xdr:to>
      <xdr:col>1</xdr:col>
      <xdr:colOff>173175</xdr:colOff>
      <xdr:row>0</xdr:row>
      <xdr:rowOff>476250</xdr:rowOff>
    </xdr:to>
    <xdr:sp macro="" textlink="">
      <xdr:nvSpPr>
        <xdr:cNvPr id="23" name="Retângulo Arredondado 2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SpPr/>
      </xdr:nvSpPr>
      <xdr:spPr>
        <a:xfrm>
          <a:off x="0" y="116250"/>
          <a:ext cx="1440000" cy="360000"/>
        </a:xfrm>
        <a:prstGeom prst="roundRect">
          <a:avLst/>
        </a:prstGeom>
        <a:gradFill flip="none" rotWithShape="1">
          <a:gsLst>
            <a:gs pos="38000">
              <a:srgbClr val="4472C4">
                <a:lumMod val="75000"/>
              </a:srgbClr>
            </a:gs>
            <a:gs pos="100000">
              <a:srgbClr val="4472C4">
                <a:lumMod val="40000"/>
                <a:lumOff val="60000"/>
              </a:srgbClr>
            </a:gs>
            <a:gs pos="100000">
              <a:srgbClr val="4472C4">
                <a:lumMod val="105000"/>
                <a:satMod val="109000"/>
                <a:tint val="81000"/>
              </a:srgbClr>
            </a:gs>
          </a:gsLst>
          <a:lin ang="2700000" scaled="1"/>
          <a:tileRect/>
        </a:gradFill>
        <a:ln w="6350" cap="flat" cmpd="sng" algn="ctr">
          <a:noFill/>
          <a:prstDash val="solid"/>
          <a:miter lim="800000"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Bahnschrift" panose="020B0502040204020203" pitchFamily="34" charset="0"/>
              <a:ea typeface="+mn-ea"/>
              <a:cs typeface="+mn-cs"/>
            </a:rPr>
            <a:t>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1352550</xdr:colOff>
          <xdr:row>0</xdr:row>
          <xdr:rowOff>190500</xdr:rowOff>
        </xdr:from>
        <xdr:to>
          <xdr:col>2</xdr:col>
          <xdr:colOff>800100</xdr:colOff>
          <xdr:row>0</xdr:row>
          <xdr:rowOff>419100</xdr:rowOff>
        </xdr:to>
        <xdr:sp macro="" textlink="">
          <xdr:nvSpPr>
            <xdr:cNvPr id="4097" name="chkWeeken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6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58284</xdr:colOff>
      <xdr:row>0</xdr:row>
      <xdr:rowOff>75464</xdr:rowOff>
    </xdr:from>
    <xdr:to>
      <xdr:col>0</xdr:col>
      <xdr:colOff>1248367</xdr:colOff>
      <xdr:row>0</xdr:row>
      <xdr:rowOff>402737</xdr:rowOff>
    </xdr:to>
    <xdr:sp macro="" textlink="">
      <xdr:nvSpPr>
        <xdr:cNvPr id="13" name="Retângulo Arredondad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/>
      </xdr:nvSpPr>
      <xdr:spPr>
        <a:xfrm>
          <a:off x="58284" y="75464"/>
          <a:ext cx="1190083" cy="327273"/>
        </a:xfrm>
        <a:prstGeom prst="roundRect">
          <a:avLst/>
        </a:prstGeom>
        <a:gradFill flip="none" rotWithShape="1">
          <a:gsLst>
            <a:gs pos="38000">
              <a:srgbClr val="4472C4">
                <a:lumMod val="75000"/>
              </a:srgbClr>
            </a:gs>
            <a:gs pos="100000">
              <a:srgbClr val="4472C4">
                <a:lumMod val="40000"/>
                <a:lumOff val="60000"/>
              </a:srgbClr>
            </a:gs>
            <a:gs pos="100000">
              <a:srgbClr val="4472C4">
                <a:lumMod val="105000"/>
                <a:satMod val="109000"/>
                <a:tint val="81000"/>
              </a:srgbClr>
            </a:gs>
          </a:gsLst>
          <a:lin ang="2700000" scaled="1"/>
          <a:tileRect/>
        </a:gradFill>
        <a:ln w="6350" cap="flat" cmpd="sng" algn="ctr">
          <a:noFill/>
          <a:prstDash val="solid"/>
          <a:miter lim="800000"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Bahnschrift" panose="020B0502040204020203" pitchFamily="34" charset="0"/>
              <a:ea typeface="+mn-ea"/>
              <a:cs typeface="+mn-cs"/>
            </a:rPr>
            <a:t>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47625</xdr:colOff>
      <xdr:row>0</xdr:row>
      <xdr:rowOff>68625</xdr:rowOff>
    </xdr:from>
    <xdr:to>
      <xdr:col>1</xdr:col>
      <xdr:colOff>487500</xdr:colOff>
      <xdr:row>0</xdr:row>
      <xdr:rowOff>428625</xdr:rowOff>
    </xdr:to>
    <xdr:sp macro="" textlink="">
      <xdr:nvSpPr>
        <xdr:cNvPr id="7" name="Retângulo Arredondado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7625" y="68625"/>
          <a:ext cx="1440000" cy="360000"/>
        </a:xfrm>
        <a:prstGeom prst="roundRect">
          <a:avLst/>
        </a:prstGeom>
        <a:gradFill flip="none" rotWithShape="1">
          <a:gsLst>
            <a:gs pos="38000">
              <a:srgbClr val="4472C4">
                <a:lumMod val="75000"/>
              </a:srgbClr>
            </a:gs>
            <a:gs pos="100000">
              <a:srgbClr val="4472C4">
                <a:lumMod val="40000"/>
                <a:lumOff val="60000"/>
              </a:srgbClr>
            </a:gs>
            <a:gs pos="100000">
              <a:srgbClr val="4472C4">
                <a:lumMod val="105000"/>
                <a:satMod val="109000"/>
                <a:tint val="81000"/>
              </a:srgbClr>
            </a:gs>
          </a:gsLst>
          <a:lin ang="2700000" scaled="1"/>
          <a:tileRect/>
        </a:gradFill>
        <a:ln w="6350" cap="flat" cmpd="sng" algn="ctr">
          <a:noFill/>
          <a:prstDash val="solid"/>
          <a:miter lim="800000"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Bahnschrift" panose="020B0502040204020203" pitchFamily="34" charset="0"/>
              <a:ea typeface="+mn-ea"/>
              <a:cs typeface="+mn-cs"/>
            </a:rPr>
            <a:t>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</xdr:colOff>
          <xdr:row>0</xdr:row>
          <xdr:rowOff>85725</xdr:rowOff>
        </xdr:from>
        <xdr:to>
          <xdr:col>2</xdr:col>
          <xdr:colOff>2390775</xdr:colOff>
          <xdr:row>0</xdr:row>
          <xdr:rowOff>400050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Formatar Estrutura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76200</xdr:colOff>
      <xdr:row>0</xdr:row>
      <xdr:rowOff>88390</xdr:rowOff>
    </xdr:from>
    <xdr:to>
      <xdr:col>1</xdr:col>
      <xdr:colOff>892312</xdr:colOff>
      <xdr:row>0</xdr:row>
      <xdr:rowOff>419100</xdr:rowOff>
    </xdr:to>
    <xdr:sp macro="" textlink="">
      <xdr:nvSpPr>
        <xdr:cNvPr id="12" name="Retângulo Arredondado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76200" y="88390"/>
          <a:ext cx="1435237" cy="330710"/>
        </a:xfrm>
        <a:prstGeom prst="roundRect">
          <a:avLst/>
        </a:prstGeom>
        <a:gradFill flip="none" rotWithShape="1">
          <a:gsLst>
            <a:gs pos="38000">
              <a:srgbClr val="4472C4">
                <a:lumMod val="75000"/>
              </a:srgbClr>
            </a:gs>
            <a:gs pos="100000">
              <a:srgbClr val="4472C4">
                <a:lumMod val="40000"/>
                <a:lumOff val="60000"/>
              </a:srgbClr>
            </a:gs>
            <a:gs pos="100000">
              <a:srgbClr val="4472C4">
                <a:lumMod val="105000"/>
                <a:satMod val="109000"/>
                <a:tint val="81000"/>
              </a:srgbClr>
            </a:gs>
          </a:gsLst>
          <a:lin ang="2700000" scaled="1"/>
          <a:tileRect/>
        </a:gradFill>
        <a:ln w="6350" cap="flat" cmpd="sng" algn="ctr">
          <a:noFill/>
          <a:prstDash val="solid"/>
          <a:miter lim="800000"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Bahnschrift" panose="020B0502040204020203" pitchFamily="34" charset="0"/>
              <a:ea typeface="+mn-ea"/>
              <a:cs typeface="+mn-cs"/>
            </a:rPr>
            <a:t>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3314700</xdr:colOff>
          <xdr:row>0</xdr:row>
          <xdr:rowOff>123825</xdr:rowOff>
        </xdr:from>
        <xdr:to>
          <xdr:col>4</xdr:col>
          <xdr:colOff>6019800</xdr:colOff>
          <xdr:row>0</xdr:row>
          <xdr:rowOff>419100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Estrutura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314325</xdr:colOff>
      <xdr:row>17</xdr:row>
      <xdr:rowOff>0</xdr:rowOff>
    </xdr:from>
    <xdr:to>
      <xdr:col>4</xdr:col>
      <xdr:colOff>1159328</xdr:colOff>
      <xdr:row>109</xdr:row>
      <xdr:rowOff>95250</xdr:rowOff>
    </xdr:to>
    <xdr:sp macro="" textlink="">
      <xdr:nvSpPr>
        <xdr:cNvPr id="5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/>
      </xdr:nvSpPr>
      <xdr:spPr bwMode="auto">
        <a:xfrm>
          <a:off x="26031825" y="44005500"/>
          <a:ext cx="845003" cy="5838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17</xdr:row>
      <xdr:rowOff>0</xdr:rowOff>
    </xdr:from>
    <xdr:ext cx="914400" cy="695325"/>
    <xdr:sp macro="" textlink="">
      <xdr:nvSpPr>
        <xdr:cNvPr id="6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26031825" y="45720000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twoCellAnchor editAs="oneCell">
    <xdr:from>
      <xdr:col>4</xdr:col>
      <xdr:colOff>314325</xdr:colOff>
      <xdr:row>17</xdr:row>
      <xdr:rowOff>0</xdr:rowOff>
    </xdr:from>
    <xdr:to>
      <xdr:col>4</xdr:col>
      <xdr:colOff>1226003</xdr:colOff>
      <xdr:row>86</xdr:row>
      <xdr:rowOff>95250</xdr:rowOff>
    </xdr:to>
    <xdr:sp macro="" textlink="">
      <xdr:nvSpPr>
        <xdr:cNvPr id="7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/>
      </xdr:nvSpPr>
      <xdr:spPr bwMode="auto">
        <a:xfrm>
          <a:off x="26031825" y="45720000"/>
          <a:ext cx="911678" cy="58388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17</xdr:row>
      <xdr:rowOff>0</xdr:rowOff>
    </xdr:from>
    <xdr:ext cx="914400" cy="695325"/>
    <xdr:sp macro="" textlink="">
      <xdr:nvSpPr>
        <xdr:cNvPr id="8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26031825" y="49911000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9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/>
      </xdr:nvSpPr>
      <xdr:spPr bwMode="auto">
        <a:xfrm>
          <a:off x="28070175" y="49911000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10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28070175" y="49911000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11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/>
      </xdr:nvSpPr>
      <xdr:spPr bwMode="auto">
        <a:xfrm>
          <a:off x="28070175" y="49911000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13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12573000" y="117157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14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SpPr/>
      </xdr:nvSpPr>
      <xdr:spPr bwMode="auto">
        <a:xfrm>
          <a:off x="12573000" y="117157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15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12573000" y="117157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twoCellAnchor editAs="oneCell">
    <xdr:from>
      <xdr:col>4</xdr:col>
      <xdr:colOff>314325</xdr:colOff>
      <xdr:row>17</xdr:row>
      <xdr:rowOff>0</xdr:rowOff>
    </xdr:from>
    <xdr:to>
      <xdr:col>4</xdr:col>
      <xdr:colOff>1159328</xdr:colOff>
      <xdr:row>226</xdr:row>
      <xdr:rowOff>104775</xdr:rowOff>
    </xdr:to>
    <xdr:sp macro="" textlink="">
      <xdr:nvSpPr>
        <xdr:cNvPr id="16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SpPr/>
      </xdr:nvSpPr>
      <xdr:spPr bwMode="auto">
        <a:xfrm>
          <a:off x="8181975" y="1171575"/>
          <a:ext cx="845003" cy="26584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17</xdr:row>
      <xdr:rowOff>0</xdr:rowOff>
    </xdr:from>
    <xdr:ext cx="914400" cy="695325"/>
    <xdr:sp macro="" textlink="">
      <xdr:nvSpPr>
        <xdr:cNvPr id="17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SpPr/>
      </xdr:nvSpPr>
      <xdr:spPr bwMode="auto">
        <a:xfrm>
          <a:off x="8181975" y="117157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twoCellAnchor editAs="oneCell">
    <xdr:from>
      <xdr:col>4</xdr:col>
      <xdr:colOff>314325</xdr:colOff>
      <xdr:row>17</xdr:row>
      <xdr:rowOff>0</xdr:rowOff>
    </xdr:from>
    <xdr:to>
      <xdr:col>4</xdr:col>
      <xdr:colOff>1226003</xdr:colOff>
      <xdr:row>196</xdr:row>
      <xdr:rowOff>9525</xdr:rowOff>
    </xdr:to>
    <xdr:sp macro="" textlink="">
      <xdr:nvSpPr>
        <xdr:cNvPr id="18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SpPr/>
      </xdr:nvSpPr>
      <xdr:spPr bwMode="auto">
        <a:xfrm>
          <a:off x="8181975" y="1171575"/>
          <a:ext cx="911678" cy="20688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17</xdr:row>
      <xdr:rowOff>0</xdr:rowOff>
    </xdr:from>
    <xdr:ext cx="914400" cy="695325"/>
    <xdr:sp macro="" textlink="">
      <xdr:nvSpPr>
        <xdr:cNvPr id="19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3000000}"/>
            </a:ext>
          </a:extLst>
        </xdr:cNvPr>
        <xdr:cNvSpPr/>
      </xdr:nvSpPr>
      <xdr:spPr bwMode="auto">
        <a:xfrm>
          <a:off x="8181975" y="117157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20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SpPr/>
      </xdr:nvSpPr>
      <xdr:spPr bwMode="auto">
        <a:xfrm>
          <a:off x="12296775" y="117157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21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SpPr/>
      </xdr:nvSpPr>
      <xdr:spPr bwMode="auto">
        <a:xfrm>
          <a:off x="12296775" y="117157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22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SpPr/>
      </xdr:nvSpPr>
      <xdr:spPr bwMode="auto">
        <a:xfrm>
          <a:off x="12296775" y="117157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23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7000000}"/>
            </a:ext>
          </a:extLst>
        </xdr:cNvPr>
        <xdr:cNvSpPr/>
      </xdr:nvSpPr>
      <xdr:spPr bwMode="auto">
        <a:xfrm>
          <a:off x="12296775" y="79057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24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SpPr/>
      </xdr:nvSpPr>
      <xdr:spPr bwMode="auto">
        <a:xfrm>
          <a:off x="12296775" y="79057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25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9000000}"/>
            </a:ext>
          </a:extLst>
        </xdr:cNvPr>
        <xdr:cNvSpPr/>
      </xdr:nvSpPr>
      <xdr:spPr bwMode="auto">
        <a:xfrm>
          <a:off x="12296775" y="79057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twoCellAnchor editAs="oneCell">
    <xdr:from>
      <xdr:col>4</xdr:col>
      <xdr:colOff>314325</xdr:colOff>
      <xdr:row>17</xdr:row>
      <xdr:rowOff>0</xdr:rowOff>
    </xdr:from>
    <xdr:to>
      <xdr:col>4</xdr:col>
      <xdr:colOff>1159328</xdr:colOff>
      <xdr:row>109</xdr:row>
      <xdr:rowOff>95250</xdr:rowOff>
    </xdr:to>
    <xdr:sp macro="" textlink="">
      <xdr:nvSpPr>
        <xdr:cNvPr id="26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A000000}"/>
            </a:ext>
          </a:extLst>
        </xdr:cNvPr>
        <xdr:cNvSpPr/>
      </xdr:nvSpPr>
      <xdr:spPr bwMode="auto">
        <a:xfrm>
          <a:off x="10296525" y="6219825"/>
          <a:ext cx="845003" cy="26584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17</xdr:row>
      <xdr:rowOff>0</xdr:rowOff>
    </xdr:from>
    <xdr:ext cx="914400" cy="695325"/>
    <xdr:sp macro="" textlink="">
      <xdr:nvSpPr>
        <xdr:cNvPr id="27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B000000}"/>
            </a:ext>
          </a:extLst>
        </xdr:cNvPr>
        <xdr:cNvSpPr/>
      </xdr:nvSpPr>
      <xdr:spPr bwMode="auto">
        <a:xfrm>
          <a:off x="10296525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twoCellAnchor editAs="oneCell">
    <xdr:from>
      <xdr:col>4</xdr:col>
      <xdr:colOff>314325</xdr:colOff>
      <xdr:row>17</xdr:row>
      <xdr:rowOff>0</xdr:rowOff>
    </xdr:from>
    <xdr:to>
      <xdr:col>4</xdr:col>
      <xdr:colOff>1226003</xdr:colOff>
      <xdr:row>86</xdr:row>
      <xdr:rowOff>95250</xdr:rowOff>
    </xdr:to>
    <xdr:sp macro="" textlink="">
      <xdr:nvSpPr>
        <xdr:cNvPr id="28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C000000}"/>
            </a:ext>
          </a:extLst>
        </xdr:cNvPr>
        <xdr:cNvSpPr/>
      </xdr:nvSpPr>
      <xdr:spPr bwMode="auto">
        <a:xfrm>
          <a:off x="10296525" y="6219825"/>
          <a:ext cx="911678" cy="20688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17</xdr:row>
      <xdr:rowOff>0</xdr:rowOff>
    </xdr:from>
    <xdr:ext cx="914400" cy="695325"/>
    <xdr:sp macro="" textlink="">
      <xdr:nvSpPr>
        <xdr:cNvPr id="29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D000000}"/>
            </a:ext>
          </a:extLst>
        </xdr:cNvPr>
        <xdr:cNvSpPr/>
      </xdr:nvSpPr>
      <xdr:spPr bwMode="auto">
        <a:xfrm>
          <a:off x="10296525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30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/>
      </xdr:nvSpPr>
      <xdr:spPr bwMode="auto">
        <a:xfrm>
          <a:off x="18535650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31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/>
      </xdr:nvSpPr>
      <xdr:spPr bwMode="auto">
        <a:xfrm>
          <a:off x="18535650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32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0000000}"/>
            </a:ext>
          </a:extLst>
        </xdr:cNvPr>
        <xdr:cNvSpPr/>
      </xdr:nvSpPr>
      <xdr:spPr bwMode="auto">
        <a:xfrm>
          <a:off x="18535650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33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1000000}"/>
            </a:ext>
          </a:extLst>
        </xdr:cNvPr>
        <xdr:cNvSpPr/>
      </xdr:nvSpPr>
      <xdr:spPr bwMode="auto">
        <a:xfrm>
          <a:off x="18535650" y="5838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34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2000000}"/>
            </a:ext>
          </a:extLst>
        </xdr:cNvPr>
        <xdr:cNvSpPr/>
      </xdr:nvSpPr>
      <xdr:spPr bwMode="auto">
        <a:xfrm>
          <a:off x="18535650" y="5838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35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3000000}"/>
            </a:ext>
          </a:extLst>
        </xdr:cNvPr>
        <xdr:cNvSpPr/>
      </xdr:nvSpPr>
      <xdr:spPr bwMode="auto">
        <a:xfrm>
          <a:off x="18535650" y="5838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twoCellAnchor editAs="oneCell">
    <xdr:from>
      <xdr:col>4</xdr:col>
      <xdr:colOff>314325</xdr:colOff>
      <xdr:row>17</xdr:row>
      <xdr:rowOff>0</xdr:rowOff>
    </xdr:from>
    <xdr:to>
      <xdr:col>4</xdr:col>
      <xdr:colOff>1159328</xdr:colOff>
      <xdr:row>226</xdr:row>
      <xdr:rowOff>104775</xdr:rowOff>
    </xdr:to>
    <xdr:sp macro="" textlink="">
      <xdr:nvSpPr>
        <xdr:cNvPr id="36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4000000}"/>
            </a:ext>
          </a:extLst>
        </xdr:cNvPr>
        <xdr:cNvSpPr/>
      </xdr:nvSpPr>
      <xdr:spPr bwMode="auto">
        <a:xfrm>
          <a:off x="10296525" y="6219825"/>
          <a:ext cx="845003" cy="54206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17</xdr:row>
      <xdr:rowOff>0</xdr:rowOff>
    </xdr:from>
    <xdr:ext cx="914400" cy="695325"/>
    <xdr:sp macro="" textlink="">
      <xdr:nvSpPr>
        <xdr:cNvPr id="37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5000000}"/>
            </a:ext>
          </a:extLst>
        </xdr:cNvPr>
        <xdr:cNvSpPr/>
      </xdr:nvSpPr>
      <xdr:spPr bwMode="auto">
        <a:xfrm>
          <a:off x="10296525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twoCellAnchor editAs="oneCell">
    <xdr:from>
      <xdr:col>4</xdr:col>
      <xdr:colOff>314325</xdr:colOff>
      <xdr:row>17</xdr:row>
      <xdr:rowOff>0</xdr:rowOff>
    </xdr:from>
    <xdr:to>
      <xdr:col>4</xdr:col>
      <xdr:colOff>1226003</xdr:colOff>
      <xdr:row>196</xdr:row>
      <xdr:rowOff>9525</xdr:rowOff>
    </xdr:to>
    <xdr:sp macro="" textlink="">
      <xdr:nvSpPr>
        <xdr:cNvPr id="38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6000000}"/>
            </a:ext>
          </a:extLst>
        </xdr:cNvPr>
        <xdr:cNvSpPr/>
      </xdr:nvSpPr>
      <xdr:spPr bwMode="auto">
        <a:xfrm>
          <a:off x="10296525" y="6219825"/>
          <a:ext cx="911678" cy="47167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17</xdr:row>
      <xdr:rowOff>0</xdr:rowOff>
    </xdr:from>
    <xdr:ext cx="914400" cy="695325"/>
    <xdr:sp macro="" textlink="">
      <xdr:nvSpPr>
        <xdr:cNvPr id="39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/>
      </xdr:nvSpPr>
      <xdr:spPr bwMode="auto">
        <a:xfrm>
          <a:off x="10296525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40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/>
      </xdr:nvSpPr>
      <xdr:spPr bwMode="auto">
        <a:xfrm>
          <a:off x="18535650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41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/>
      </xdr:nvSpPr>
      <xdr:spPr bwMode="auto">
        <a:xfrm>
          <a:off x="18535650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42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/>
      </xdr:nvSpPr>
      <xdr:spPr bwMode="auto">
        <a:xfrm>
          <a:off x="18535650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43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/>
      </xdr:nvSpPr>
      <xdr:spPr bwMode="auto">
        <a:xfrm>
          <a:off x="18535650" y="5838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44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/>
      </xdr:nvSpPr>
      <xdr:spPr bwMode="auto">
        <a:xfrm>
          <a:off x="18535650" y="5838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45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/>
      </xdr:nvSpPr>
      <xdr:spPr bwMode="auto">
        <a:xfrm>
          <a:off x="18535650" y="5838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twoCellAnchor editAs="oneCell">
    <xdr:from>
      <xdr:col>4</xdr:col>
      <xdr:colOff>314325</xdr:colOff>
      <xdr:row>17</xdr:row>
      <xdr:rowOff>0</xdr:rowOff>
    </xdr:from>
    <xdr:to>
      <xdr:col>4</xdr:col>
      <xdr:colOff>1159328</xdr:colOff>
      <xdr:row>109</xdr:row>
      <xdr:rowOff>95250</xdr:rowOff>
    </xdr:to>
    <xdr:sp macro="" textlink="">
      <xdr:nvSpPr>
        <xdr:cNvPr id="46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/>
      </xdr:nvSpPr>
      <xdr:spPr bwMode="auto">
        <a:xfrm>
          <a:off x="10296525" y="6219825"/>
          <a:ext cx="845003" cy="265842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17</xdr:row>
      <xdr:rowOff>0</xdr:rowOff>
    </xdr:from>
    <xdr:ext cx="914400" cy="695325"/>
    <xdr:sp macro="" textlink="">
      <xdr:nvSpPr>
        <xdr:cNvPr id="47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/>
      </xdr:nvSpPr>
      <xdr:spPr bwMode="auto">
        <a:xfrm>
          <a:off x="10296525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twoCellAnchor editAs="oneCell">
    <xdr:from>
      <xdr:col>4</xdr:col>
      <xdr:colOff>314325</xdr:colOff>
      <xdr:row>17</xdr:row>
      <xdr:rowOff>0</xdr:rowOff>
    </xdr:from>
    <xdr:to>
      <xdr:col>4</xdr:col>
      <xdr:colOff>1226003</xdr:colOff>
      <xdr:row>86</xdr:row>
      <xdr:rowOff>95250</xdr:rowOff>
    </xdr:to>
    <xdr:sp macro="" textlink="">
      <xdr:nvSpPr>
        <xdr:cNvPr id="48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/>
      </xdr:nvSpPr>
      <xdr:spPr bwMode="auto">
        <a:xfrm>
          <a:off x="10296525" y="6219825"/>
          <a:ext cx="911678" cy="206883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17</xdr:row>
      <xdr:rowOff>0</xdr:rowOff>
    </xdr:from>
    <xdr:ext cx="914400" cy="695325"/>
    <xdr:sp macro="" textlink="">
      <xdr:nvSpPr>
        <xdr:cNvPr id="49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/>
      </xdr:nvSpPr>
      <xdr:spPr bwMode="auto">
        <a:xfrm>
          <a:off x="10296525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50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/>
      </xdr:nvSpPr>
      <xdr:spPr bwMode="auto">
        <a:xfrm>
          <a:off x="18535650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51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3000000}"/>
            </a:ext>
          </a:extLst>
        </xdr:cNvPr>
        <xdr:cNvSpPr/>
      </xdr:nvSpPr>
      <xdr:spPr bwMode="auto">
        <a:xfrm>
          <a:off x="18535650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52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4000000}"/>
            </a:ext>
          </a:extLst>
        </xdr:cNvPr>
        <xdr:cNvSpPr/>
      </xdr:nvSpPr>
      <xdr:spPr bwMode="auto">
        <a:xfrm>
          <a:off x="18535650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53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5000000}"/>
            </a:ext>
          </a:extLst>
        </xdr:cNvPr>
        <xdr:cNvSpPr/>
      </xdr:nvSpPr>
      <xdr:spPr bwMode="auto">
        <a:xfrm>
          <a:off x="18535650" y="5838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54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6000000}"/>
            </a:ext>
          </a:extLst>
        </xdr:cNvPr>
        <xdr:cNvSpPr/>
      </xdr:nvSpPr>
      <xdr:spPr bwMode="auto">
        <a:xfrm>
          <a:off x="18535650" y="5838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55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7000000}"/>
            </a:ext>
          </a:extLst>
        </xdr:cNvPr>
        <xdr:cNvSpPr/>
      </xdr:nvSpPr>
      <xdr:spPr bwMode="auto">
        <a:xfrm>
          <a:off x="18535650" y="5838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twoCellAnchor editAs="oneCell">
    <xdr:from>
      <xdr:col>4</xdr:col>
      <xdr:colOff>314325</xdr:colOff>
      <xdr:row>17</xdr:row>
      <xdr:rowOff>0</xdr:rowOff>
    </xdr:from>
    <xdr:to>
      <xdr:col>4</xdr:col>
      <xdr:colOff>1159328</xdr:colOff>
      <xdr:row>226</xdr:row>
      <xdr:rowOff>104775</xdr:rowOff>
    </xdr:to>
    <xdr:sp macro="" textlink="">
      <xdr:nvSpPr>
        <xdr:cNvPr id="56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8000000}"/>
            </a:ext>
          </a:extLst>
        </xdr:cNvPr>
        <xdr:cNvSpPr/>
      </xdr:nvSpPr>
      <xdr:spPr bwMode="auto">
        <a:xfrm>
          <a:off x="10296525" y="6219825"/>
          <a:ext cx="845003" cy="542067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17</xdr:row>
      <xdr:rowOff>0</xdr:rowOff>
    </xdr:from>
    <xdr:ext cx="914400" cy="695325"/>
    <xdr:sp macro="" textlink="">
      <xdr:nvSpPr>
        <xdr:cNvPr id="57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9000000}"/>
            </a:ext>
          </a:extLst>
        </xdr:cNvPr>
        <xdr:cNvSpPr/>
      </xdr:nvSpPr>
      <xdr:spPr bwMode="auto">
        <a:xfrm>
          <a:off x="10296525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twoCellAnchor editAs="oneCell">
    <xdr:from>
      <xdr:col>4</xdr:col>
      <xdr:colOff>314325</xdr:colOff>
      <xdr:row>17</xdr:row>
      <xdr:rowOff>0</xdr:rowOff>
    </xdr:from>
    <xdr:to>
      <xdr:col>4</xdr:col>
      <xdr:colOff>1226003</xdr:colOff>
      <xdr:row>196</xdr:row>
      <xdr:rowOff>9525</xdr:rowOff>
    </xdr:to>
    <xdr:sp macro="" textlink="">
      <xdr:nvSpPr>
        <xdr:cNvPr id="58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A000000}"/>
            </a:ext>
          </a:extLst>
        </xdr:cNvPr>
        <xdr:cNvSpPr/>
      </xdr:nvSpPr>
      <xdr:spPr bwMode="auto">
        <a:xfrm>
          <a:off x="10296525" y="6219825"/>
          <a:ext cx="911678" cy="471678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oneCellAnchor>
    <xdr:from>
      <xdr:col>4</xdr:col>
      <xdr:colOff>314325</xdr:colOff>
      <xdr:row>17</xdr:row>
      <xdr:rowOff>0</xdr:rowOff>
    </xdr:from>
    <xdr:ext cx="914400" cy="695325"/>
    <xdr:sp macro="" textlink="">
      <xdr:nvSpPr>
        <xdr:cNvPr id="59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B000000}"/>
            </a:ext>
          </a:extLst>
        </xdr:cNvPr>
        <xdr:cNvSpPr/>
      </xdr:nvSpPr>
      <xdr:spPr bwMode="auto">
        <a:xfrm>
          <a:off x="10296525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60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C000000}"/>
            </a:ext>
          </a:extLst>
        </xdr:cNvPr>
        <xdr:cNvSpPr/>
      </xdr:nvSpPr>
      <xdr:spPr bwMode="auto">
        <a:xfrm>
          <a:off x="18535650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61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D000000}"/>
            </a:ext>
          </a:extLst>
        </xdr:cNvPr>
        <xdr:cNvSpPr/>
      </xdr:nvSpPr>
      <xdr:spPr bwMode="auto">
        <a:xfrm>
          <a:off x="18535650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17</xdr:row>
      <xdr:rowOff>0</xdr:rowOff>
    </xdr:from>
    <xdr:ext cx="914400" cy="695325"/>
    <xdr:sp macro="" textlink="">
      <xdr:nvSpPr>
        <xdr:cNvPr id="62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E000000}"/>
            </a:ext>
          </a:extLst>
        </xdr:cNvPr>
        <xdr:cNvSpPr/>
      </xdr:nvSpPr>
      <xdr:spPr bwMode="auto">
        <a:xfrm>
          <a:off x="18535650" y="6219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63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3F000000}"/>
            </a:ext>
          </a:extLst>
        </xdr:cNvPr>
        <xdr:cNvSpPr/>
      </xdr:nvSpPr>
      <xdr:spPr bwMode="auto">
        <a:xfrm>
          <a:off x="18535650" y="5838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64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40000000}"/>
            </a:ext>
          </a:extLst>
        </xdr:cNvPr>
        <xdr:cNvSpPr/>
      </xdr:nvSpPr>
      <xdr:spPr bwMode="auto">
        <a:xfrm>
          <a:off x="18535650" y="5838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16</xdr:row>
      <xdr:rowOff>0</xdr:rowOff>
    </xdr:from>
    <xdr:ext cx="914400" cy="695325"/>
    <xdr:sp macro="" textlink="">
      <xdr:nvSpPr>
        <xdr:cNvPr id="65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41000000}"/>
            </a:ext>
          </a:extLst>
        </xdr:cNvPr>
        <xdr:cNvSpPr/>
      </xdr:nvSpPr>
      <xdr:spPr bwMode="auto">
        <a:xfrm>
          <a:off x="18535650" y="5838825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7</xdr:col>
      <xdr:colOff>314325</xdr:colOff>
      <xdr:row>24</xdr:row>
      <xdr:rowOff>4314825</xdr:rowOff>
    </xdr:from>
    <xdr:ext cx="914400" cy="695325"/>
    <xdr:sp macro="" textlink="">
      <xdr:nvSpPr>
        <xdr:cNvPr id="66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 bwMode="auto">
        <a:xfrm>
          <a:off x="11049000" y="13830300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7</xdr:col>
      <xdr:colOff>314325</xdr:colOff>
      <xdr:row>25</xdr:row>
      <xdr:rowOff>4314825</xdr:rowOff>
    </xdr:from>
    <xdr:ext cx="914400" cy="695325"/>
    <xdr:sp macro="" textlink="">
      <xdr:nvSpPr>
        <xdr:cNvPr id="67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 bwMode="auto">
        <a:xfrm>
          <a:off x="11049000" y="14401800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25</xdr:row>
      <xdr:rowOff>4314825</xdr:rowOff>
    </xdr:from>
    <xdr:ext cx="914400" cy="695325"/>
    <xdr:sp macro="" textlink="">
      <xdr:nvSpPr>
        <xdr:cNvPr id="68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SpPr/>
      </xdr:nvSpPr>
      <xdr:spPr bwMode="auto">
        <a:xfrm>
          <a:off x="13087350" y="14401800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25</xdr:row>
      <xdr:rowOff>4314825</xdr:rowOff>
    </xdr:from>
    <xdr:ext cx="914400" cy="695325"/>
    <xdr:sp macro="" textlink="">
      <xdr:nvSpPr>
        <xdr:cNvPr id="69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SpPr/>
      </xdr:nvSpPr>
      <xdr:spPr bwMode="auto">
        <a:xfrm>
          <a:off x="13087350" y="14401800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  <xdr:oneCellAnchor>
    <xdr:from>
      <xdr:col>8</xdr:col>
      <xdr:colOff>314325</xdr:colOff>
      <xdr:row>25</xdr:row>
      <xdr:rowOff>4314825</xdr:rowOff>
    </xdr:from>
    <xdr:ext cx="914400" cy="695325"/>
    <xdr:sp macro="" textlink="">
      <xdr:nvSpPr>
        <xdr:cNvPr id="70" name="Object 34" hidden="1">
          <a:extLst>
            <a:ext uri="{63B3BB69-23CF-44E3-9099-C40C66FF867C}">
              <a14:compatExt xmlns:a14="http://schemas.microsoft.com/office/drawing/2010/main" spid="_x0000_s2082"/>
            </a:ex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SpPr/>
      </xdr:nvSpPr>
      <xdr:spPr bwMode="auto">
        <a:xfrm>
          <a:off x="13087350" y="14401800"/>
          <a:ext cx="914400" cy="6953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57</xdr:row>
      <xdr:rowOff>137433</xdr:rowOff>
    </xdr:from>
    <xdr:to>
      <xdr:col>23</xdr:col>
      <xdr:colOff>530677</xdr:colOff>
      <xdr:row>86</xdr:row>
      <xdr:rowOff>153420</xdr:rowOff>
    </xdr:to>
    <xdr:graphicFrame macro="">
      <xdr:nvGraphicFramePr>
        <xdr:cNvPr id="13" name="GraficoBurnup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0</xdr:col>
      <xdr:colOff>57150</xdr:colOff>
      <xdr:row>0</xdr:row>
      <xdr:rowOff>49575</xdr:rowOff>
    </xdr:from>
    <xdr:to>
      <xdr:col>1</xdr:col>
      <xdr:colOff>497025</xdr:colOff>
      <xdr:row>0</xdr:row>
      <xdr:rowOff>409575</xdr:rowOff>
    </xdr:to>
    <xdr:sp macro="" textlink="">
      <xdr:nvSpPr>
        <xdr:cNvPr id="14" name="Retângulo Arredondad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57150" y="49575"/>
          <a:ext cx="1440000" cy="360000"/>
        </a:xfrm>
        <a:prstGeom prst="roundRect">
          <a:avLst/>
        </a:prstGeom>
        <a:gradFill flip="none" rotWithShape="1">
          <a:gsLst>
            <a:gs pos="38000">
              <a:srgbClr val="4472C4">
                <a:lumMod val="75000"/>
              </a:srgbClr>
            </a:gs>
            <a:gs pos="100000">
              <a:srgbClr val="4472C4">
                <a:lumMod val="40000"/>
                <a:lumOff val="60000"/>
              </a:srgbClr>
            </a:gs>
            <a:gs pos="100000">
              <a:srgbClr val="4472C4">
                <a:lumMod val="105000"/>
                <a:satMod val="109000"/>
                <a:tint val="81000"/>
              </a:srgbClr>
            </a:gs>
          </a:gsLst>
          <a:lin ang="2700000" scaled="1"/>
          <a:tileRect/>
        </a:gradFill>
        <a:ln w="6350" cap="flat" cmpd="sng" algn="ctr">
          <a:noFill/>
          <a:prstDash val="solid"/>
          <a:miter lim="800000"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Bahnschrift" panose="020B0502040204020203" pitchFamily="34" charset="0"/>
              <a:ea typeface="+mn-ea"/>
              <a:cs typeface="+mn-cs"/>
            </a:rPr>
            <a:t>Home</a:t>
          </a:r>
        </a:p>
      </xdr:txBody>
    </xdr:sp>
    <xdr:clientData/>
  </xdr:twoCellAnchor>
</xdr:wsDr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3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2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8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  <cdr:relSizeAnchor xmlns:cdr="http://schemas.openxmlformats.org/drawingml/2006/chartDrawing">
    <cdr:from>
      <cdr:x>0.04338</cdr:x>
      <cdr:y>0.85678</cdr:y>
    </cdr:from>
    <cdr:to>
      <cdr:x>0.48665</cdr:x>
      <cdr:y>0.96842</cdr:y>
    </cdr:to>
    <cdr:sp macro="" textlink="">
      <cdr:nvSpPr>
        <cdr:cNvPr id="11" name="CaixaDeTexto 2">
          <a:extLst xmlns:a="http://schemas.openxmlformats.org/drawingml/2006/main">
            <a:ext uri="{FF2B5EF4-FFF2-40B4-BE49-F238E27FC236}">
              <a16:creationId xmlns:a16="http://schemas.microsoft.com/office/drawing/2014/main" id="{A572F7F4-EE51-0D5C-6B7D-79B83CD8CC2F}"/>
            </a:ext>
          </a:extLst>
        </cdr:cNvPr>
        <cdr:cNvSpPr txBox="1"/>
      </cdr:nvSpPr>
      <cdr:spPr>
        <a:xfrm xmlns:a="http://schemas.openxmlformats.org/drawingml/2006/main">
          <a:off x="547222" y="3526117"/>
          <a:ext cx="5591735" cy="45944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pt-BR" sz="1100"/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66675</xdr:colOff>
      <xdr:row>0</xdr:row>
      <xdr:rowOff>66675</xdr:rowOff>
    </xdr:from>
    <xdr:to>
      <xdr:col>1</xdr:col>
      <xdr:colOff>839925</xdr:colOff>
      <xdr:row>0</xdr:row>
      <xdr:rowOff>426675</xdr:rowOff>
    </xdr:to>
    <xdr:sp macro="" textlink="">
      <xdr:nvSpPr>
        <xdr:cNvPr id="112" name="Retângulo Arredondado 1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70000000}"/>
            </a:ext>
          </a:extLst>
        </xdr:cNvPr>
        <xdr:cNvSpPr/>
      </xdr:nvSpPr>
      <xdr:spPr>
        <a:xfrm>
          <a:off x="66675" y="66675"/>
          <a:ext cx="1440000" cy="360000"/>
        </a:xfrm>
        <a:prstGeom prst="roundRect">
          <a:avLst/>
        </a:prstGeom>
        <a:gradFill flip="none" rotWithShape="1">
          <a:gsLst>
            <a:gs pos="38000">
              <a:srgbClr val="4472C4">
                <a:lumMod val="75000"/>
              </a:srgbClr>
            </a:gs>
            <a:gs pos="100000">
              <a:srgbClr val="4472C4">
                <a:lumMod val="40000"/>
                <a:lumOff val="60000"/>
              </a:srgbClr>
            </a:gs>
            <a:gs pos="100000">
              <a:srgbClr val="4472C4">
                <a:lumMod val="105000"/>
                <a:satMod val="109000"/>
                <a:tint val="81000"/>
              </a:srgbClr>
            </a:gs>
          </a:gsLst>
          <a:lin ang="2700000" scaled="1"/>
          <a:tileRect/>
        </a:gradFill>
        <a:ln w="6350" cap="flat" cmpd="sng" algn="ctr">
          <a:noFill/>
          <a:prstDash val="solid"/>
          <a:miter lim="800000"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Bahnschrift" panose="020B0502040204020203" pitchFamily="34" charset="0"/>
              <a:ea typeface="+mn-ea"/>
              <a:cs typeface="+mn-cs"/>
            </a:rPr>
            <a:t>Home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1000125</xdr:colOff>
          <xdr:row>0</xdr:row>
          <xdr:rowOff>85725</xdr:rowOff>
        </xdr:from>
        <xdr:to>
          <xdr:col>5</xdr:col>
          <xdr:colOff>1123950</xdr:colOff>
          <xdr:row>0</xdr:row>
          <xdr:rowOff>390525</xdr:rowOff>
        </xdr:to>
        <xdr:sp macro="" textlink="">
          <xdr:nvSpPr>
            <xdr:cNvPr id="8210" name="Button 18" hidden="1">
              <a:extLst>
                <a:ext uri="{63B3BB69-23CF-44E3-9099-C40C66FF867C}">
                  <a14:compatExt spid="_x0000_s8210"/>
                </a:ext>
                <a:ext uri="{FF2B5EF4-FFF2-40B4-BE49-F238E27FC236}">
                  <a16:creationId xmlns:a16="http://schemas.microsoft.com/office/drawing/2014/main" id="{00000000-0008-0000-0B00-00001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Popular Datas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76200</xdr:colOff>
      <xdr:row>0</xdr:row>
      <xdr:rowOff>47624</xdr:rowOff>
    </xdr:from>
    <xdr:to>
      <xdr:col>2</xdr:col>
      <xdr:colOff>58875</xdr:colOff>
      <xdr:row>0</xdr:row>
      <xdr:rowOff>407624</xdr:rowOff>
    </xdr:to>
    <xdr:sp macro="" textlink="">
      <xdr:nvSpPr>
        <xdr:cNvPr id="9" name="Retângulo Arredondad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76200" y="47624"/>
          <a:ext cx="1440000" cy="360000"/>
        </a:xfrm>
        <a:prstGeom prst="roundRect">
          <a:avLst/>
        </a:prstGeom>
        <a:gradFill flip="none" rotWithShape="1">
          <a:gsLst>
            <a:gs pos="38000">
              <a:srgbClr val="4472C4">
                <a:lumMod val="75000"/>
              </a:srgbClr>
            </a:gs>
            <a:gs pos="100000">
              <a:srgbClr val="4472C4">
                <a:lumMod val="40000"/>
                <a:lumOff val="60000"/>
              </a:srgbClr>
            </a:gs>
            <a:gs pos="100000">
              <a:srgbClr val="4472C4">
                <a:lumMod val="105000"/>
                <a:satMod val="109000"/>
                <a:tint val="81000"/>
              </a:srgbClr>
            </a:gs>
          </a:gsLst>
          <a:lin ang="2700000" scaled="1"/>
          <a:tileRect/>
        </a:gradFill>
        <a:ln w="6350" cap="flat" cmpd="sng" algn="ctr">
          <a:noFill/>
          <a:prstDash val="solid"/>
          <a:miter lim="800000"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Bahnschrift" panose="020B0502040204020203" pitchFamily="34" charset="0"/>
              <a:ea typeface="+mn-ea"/>
              <a:cs typeface="+mn-cs"/>
            </a:rPr>
            <a:t>Home</a:t>
          </a:r>
        </a:p>
      </xdr:txBody>
    </xdr:sp>
    <xdr:clientData/>
  </xdr:twoCellAnchor>
  <xdr:twoCellAnchor editAs="absolute">
    <xdr:from>
      <xdr:col>2</xdr:col>
      <xdr:colOff>114300</xdr:colOff>
      <xdr:row>0</xdr:row>
      <xdr:rowOff>47624</xdr:rowOff>
    </xdr:from>
    <xdr:to>
      <xdr:col>3</xdr:col>
      <xdr:colOff>620850</xdr:colOff>
      <xdr:row>0</xdr:row>
      <xdr:rowOff>407624</xdr:rowOff>
    </xdr:to>
    <xdr:sp macro="" textlink="">
      <xdr:nvSpPr>
        <xdr:cNvPr id="6" name="Retângulo Arredond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1571625" y="47624"/>
          <a:ext cx="1440000" cy="360000"/>
        </a:xfrm>
        <a:prstGeom prst="roundRect">
          <a:avLst/>
        </a:prstGeom>
        <a:gradFill flip="none" rotWithShape="1">
          <a:gsLst>
            <a:gs pos="38000">
              <a:srgbClr val="4472C4">
                <a:lumMod val="75000"/>
              </a:srgbClr>
            </a:gs>
            <a:gs pos="100000">
              <a:srgbClr val="4472C4">
                <a:lumMod val="40000"/>
                <a:lumOff val="60000"/>
              </a:srgbClr>
            </a:gs>
            <a:gs pos="100000">
              <a:srgbClr val="4472C4">
                <a:lumMod val="105000"/>
                <a:satMod val="109000"/>
                <a:tint val="81000"/>
              </a:srgbClr>
            </a:gs>
          </a:gsLst>
          <a:lin ang="2700000" scaled="1"/>
          <a:tileRect/>
        </a:gradFill>
        <a:ln w="6350" cap="flat" cmpd="sng" algn="ctr">
          <a:noFill/>
          <a:prstDash val="solid"/>
          <a:miter lim="800000"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Bahnschrift" panose="020B0502040204020203" pitchFamily="34" charset="0"/>
              <a:ea typeface="+mn-ea"/>
              <a:cs typeface="+mn-cs"/>
            </a:rPr>
            <a:t>Planning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485775</xdr:colOff>
          <xdr:row>0</xdr:row>
          <xdr:rowOff>104775</xdr:rowOff>
        </xdr:from>
        <xdr:to>
          <xdr:col>3</xdr:col>
          <xdr:colOff>638175</xdr:colOff>
          <xdr:row>0</xdr:row>
          <xdr:rowOff>295275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C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Prenncher Planning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457200</xdr:colOff>
          <xdr:row>0</xdr:row>
          <xdr:rowOff>361950</xdr:rowOff>
        </xdr:from>
        <xdr:to>
          <xdr:col>3</xdr:col>
          <xdr:colOff>600075</xdr:colOff>
          <xdr:row>0</xdr:row>
          <xdr:rowOff>638175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C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Sicronizar - Planning x DataTarefas</a:t>
              </a:r>
            </a:p>
            <a:p>
              <a:pPr algn="ctr" rtl="0">
                <a:defRPr sz="1000"/>
              </a:pPr>
              <a:endParaRPr lang="pt-BR" sz="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33846</xdr:colOff>
      <xdr:row>0</xdr:row>
      <xdr:rowOff>99191</xdr:rowOff>
    </xdr:from>
    <xdr:to>
      <xdr:col>1</xdr:col>
      <xdr:colOff>422413</xdr:colOff>
      <xdr:row>0</xdr:row>
      <xdr:rowOff>364437</xdr:rowOff>
    </xdr:to>
    <xdr:sp macro="" textlink="">
      <xdr:nvSpPr>
        <xdr:cNvPr id="13" name="Retângulo Arredondado 1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/>
      </xdr:nvSpPr>
      <xdr:spPr>
        <a:xfrm>
          <a:off x="33846" y="99191"/>
          <a:ext cx="1100871" cy="265246"/>
        </a:xfrm>
        <a:prstGeom prst="roundRect">
          <a:avLst/>
        </a:prstGeom>
        <a:gradFill flip="none" rotWithShape="1">
          <a:gsLst>
            <a:gs pos="38000">
              <a:srgbClr val="4472C4">
                <a:lumMod val="75000"/>
              </a:srgbClr>
            </a:gs>
            <a:gs pos="100000">
              <a:srgbClr val="4472C4">
                <a:lumMod val="40000"/>
                <a:lumOff val="60000"/>
              </a:srgbClr>
            </a:gs>
            <a:gs pos="100000">
              <a:srgbClr val="4472C4">
                <a:lumMod val="105000"/>
                <a:satMod val="109000"/>
                <a:tint val="81000"/>
              </a:srgbClr>
            </a:gs>
          </a:gsLst>
          <a:lin ang="2700000" scaled="1"/>
          <a:tileRect/>
        </a:gradFill>
        <a:ln w="6350" cap="flat" cmpd="sng" algn="ctr">
          <a:noFill/>
          <a:prstDash val="solid"/>
          <a:miter lim="800000"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Bahnschrift" panose="020B0502040204020203" pitchFamily="34" charset="0"/>
              <a:ea typeface="+mn-ea"/>
              <a:cs typeface="+mn-cs"/>
            </a:rPr>
            <a:t>Home</a:t>
          </a:r>
        </a:p>
      </xdr:txBody>
    </xdr:sp>
    <xdr:clientData/>
  </xdr:twoCellAnchor>
  <xdr:twoCellAnchor editAs="absolute">
    <xdr:from>
      <xdr:col>0</xdr:col>
      <xdr:colOff>8283</xdr:colOff>
      <xdr:row>0</xdr:row>
      <xdr:rowOff>448093</xdr:rowOff>
    </xdr:from>
    <xdr:to>
      <xdr:col>1</xdr:col>
      <xdr:colOff>406928</xdr:colOff>
      <xdr:row>0</xdr:row>
      <xdr:rowOff>728689</xdr:rowOff>
    </xdr:to>
    <xdr:sp macro="" textlink="">
      <xdr:nvSpPr>
        <xdr:cNvPr id="6" name="Retângulo Arredondado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8283" y="448093"/>
          <a:ext cx="1110949" cy="280596"/>
        </a:xfrm>
        <a:prstGeom prst="roundRect">
          <a:avLst/>
        </a:prstGeom>
        <a:gradFill flip="none" rotWithShape="1">
          <a:gsLst>
            <a:gs pos="38000">
              <a:srgbClr val="4472C4">
                <a:lumMod val="75000"/>
              </a:srgbClr>
            </a:gs>
            <a:gs pos="100000">
              <a:srgbClr val="4472C4">
                <a:lumMod val="40000"/>
                <a:lumOff val="60000"/>
              </a:srgbClr>
            </a:gs>
            <a:gs pos="100000">
              <a:srgbClr val="4472C4">
                <a:lumMod val="105000"/>
                <a:satMod val="109000"/>
                <a:tint val="81000"/>
              </a:srgbClr>
            </a:gs>
          </a:gsLst>
          <a:lin ang="2700000" scaled="1"/>
          <a:tileRect/>
        </a:gradFill>
        <a:ln w="6350" cap="flat" cmpd="sng" algn="ctr">
          <a:noFill/>
          <a:prstDash val="solid"/>
          <a:miter lim="800000"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Bahnschrift" panose="020B0502040204020203" pitchFamily="34" charset="0"/>
              <a:ea typeface="+mn-ea"/>
              <a:cs typeface="+mn-cs"/>
            </a:rPr>
            <a:t>Data Tarefas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209550</xdr:rowOff>
        </xdr:from>
        <xdr:to>
          <xdr:col>6</xdr:col>
          <xdr:colOff>152400</xdr:colOff>
          <xdr:row>0</xdr:row>
          <xdr:rowOff>457200</xdr:rowOff>
        </xdr:to>
        <xdr:sp macro="" textlink="">
          <xdr:nvSpPr>
            <xdr:cNvPr id="13314" name="cmdAtualizarKanban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D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352425</xdr:colOff>
          <xdr:row>0</xdr:row>
          <xdr:rowOff>28575</xdr:rowOff>
        </xdr:from>
        <xdr:to>
          <xdr:col>6</xdr:col>
          <xdr:colOff>447675</xdr:colOff>
          <xdr:row>0</xdr:row>
          <xdr:rowOff>257175</xdr:rowOff>
        </xdr:to>
        <xdr:sp macro="" textlink="">
          <xdr:nvSpPr>
            <xdr:cNvPr id="13317" name="chkRefreshKanban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D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0</xdr:colOff>
      <xdr:row>0</xdr:row>
      <xdr:rowOff>76200</xdr:rowOff>
    </xdr:from>
    <xdr:to>
      <xdr:col>1</xdr:col>
      <xdr:colOff>573225</xdr:colOff>
      <xdr:row>0</xdr:row>
      <xdr:rowOff>436200</xdr:rowOff>
    </xdr:to>
    <xdr:sp macro="" textlink="">
      <xdr:nvSpPr>
        <xdr:cNvPr id="9" name="Retângulo Arredondado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/>
      </xdr:nvSpPr>
      <xdr:spPr>
        <a:xfrm>
          <a:off x="0" y="76200"/>
          <a:ext cx="1182825" cy="360000"/>
        </a:xfrm>
        <a:prstGeom prst="roundRect">
          <a:avLst/>
        </a:prstGeom>
        <a:gradFill flip="none" rotWithShape="1">
          <a:gsLst>
            <a:gs pos="38000">
              <a:srgbClr val="4472C4">
                <a:lumMod val="75000"/>
              </a:srgbClr>
            </a:gs>
            <a:gs pos="100000">
              <a:srgbClr val="4472C4">
                <a:lumMod val="40000"/>
                <a:lumOff val="60000"/>
              </a:srgbClr>
            </a:gs>
            <a:gs pos="100000">
              <a:srgbClr val="4472C4">
                <a:lumMod val="105000"/>
                <a:satMod val="109000"/>
                <a:tint val="81000"/>
              </a:srgbClr>
            </a:gs>
          </a:gsLst>
          <a:lin ang="2700000" scaled="1"/>
          <a:tileRect/>
        </a:gradFill>
        <a:ln w="6350" cap="flat" cmpd="sng" algn="ctr">
          <a:noFill/>
          <a:prstDash val="solid"/>
          <a:miter lim="800000"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6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Bahnschrift" panose="020B0502040204020203" pitchFamily="34" charset="0"/>
              <a:ea typeface="+mn-ea"/>
              <a:cs typeface="+mn-cs"/>
            </a:rPr>
            <a:t>Home</a:t>
          </a:r>
        </a:p>
      </xdr:txBody>
    </xdr:sp>
    <xdr:clientData/>
  </xdr:twoCellAnchor>
  <xdr:twoCellAnchor editAs="absolute">
    <xdr:from>
      <xdr:col>1</xdr:col>
      <xdr:colOff>658950</xdr:colOff>
      <xdr:row>0</xdr:row>
      <xdr:rowOff>76200</xdr:rowOff>
    </xdr:from>
    <xdr:to>
      <xdr:col>3</xdr:col>
      <xdr:colOff>289200</xdr:colOff>
      <xdr:row>0</xdr:row>
      <xdr:rowOff>436200</xdr:rowOff>
    </xdr:to>
    <xdr:sp macro="" textlink="">
      <xdr:nvSpPr>
        <xdr:cNvPr id="5" name="Retângulo Arredondad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1268550" y="76200"/>
          <a:ext cx="1182825" cy="360000"/>
        </a:xfrm>
        <a:prstGeom prst="roundRect">
          <a:avLst/>
        </a:prstGeom>
        <a:gradFill flip="none" rotWithShape="1">
          <a:gsLst>
            <a:gs pos="62000">
              <a:srgbClr val="7030A0"/>
            </a:gs>
            <a:gs pos="100000">
              <a:srgbClr val="CC99FF"/>
            </a:gs>
          </a:gsLst>
          <a:lin ang="2700000" scaled="1"/>
          <a:tileRect/>
        </a:gradFill>
        <a:ln w="6350" cap="flat" cmpd="sng" algn="ctr">
          <a:noFill/>
          <a:prstDash val="solid"/>
          <a:miter lim="800000"/>
        </a:ln>
        <a:effectLst>
          <a:outerShdw blurRad="76200" dir="13500000" sy="23000" kx="1200000" algn="br" rotWithShape="0">
            <a:prstClr val="black">
              <a:alpha val="2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2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Bahnschrift" panose="020B0502040204020203" pitchFamily="34" charset="0"/>
              <a:ea typeface="+mn-ea"/>
              <a:cs typeface="+mn-cs"/>
            </a:rPr>
            <a:t>Layout Card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elefonicacorp.sharepoint.com/sites/MigracaoAlarmisticaTEMS.TMBNL-ControleGP/Shared%20Documents/Controle%20GP/CR%20Melhorias/LEGO/Burnup%20-%20Tems%20_%20v9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UltimaBaseline"/>
      <sheetName val="ConsolidadoLista"/>
      <sheetName val="Consolidado"/>
      <sheetName val="Relatório Consolidado"/>
      <sheetName val="BaseRelatorioConsolidado"/>
      <sheetName val="GraficosConsolidado"/>
      <sheetName val="Capa"/>
      <sheetName val="Esteira Produção"/>
      <sheetName val="ImagensGraficos"/>
      <sheetName val="ReportEmail"/>
      <sheetName val="Graficos Resumo"/>
      <sheetName val="Resumo"/>
      <sheetName val="1. Sprint 0"/>
      <sheetName val="1.1 Sprint 0 (Gráficos)"/>
      <sheetName val="2. Release Planning"/>
      <sheetName val="2.1 Teste Integrado (Gráficos)"/>
      <sheetName val="Planilha2"/>
      <sheetName val="2.1.1 Teste Integrado (BPI)"/>
      <sheetName val="2.2 Pré-Produção (Gráficos)"/>
      <sheetName val="3. Pós-Produção"/>
      <sheetName val="Progresso Temas"/>
      <sheetName val="RDMs"/>
      <sheetName val="Bugs"/>
      <sheetName val="Feriados"/>
      <sheetName val="Product Backlog"/>
      <sheetName val="(Opcional) Controle Detalhad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>
        <row r="2">
          <cell r="U2">
            <v>45112</v>
          </cell>
        </row>
      </sheetData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</sheetDataSet>
  </externalBook>
</externalLink>
</file>

<file path=xl/tables/table1.xml><?xml version="1.0" encoding="utf-8"?>
<table xmlns="http://schemas.openxmlformats.org/spreadsheetml/2006/main" id="6" name="tblColorTasks" displayName="tblColorTasks" ref="A3:B33" totalsRowShown="0">
  <autoFilter ref="A3:B33"/>
  <tableColumns count="2">
    <tableColumn id="1" name="idColor" dataDxfId="74"/>
    <tableColumn id="54" name="Color" dataDxfId="7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9" name="tblVelocityParameters" displayName="tblVelocityParameters" ref="A8:C13" totalsRowShown="0">
  <autoFilter ref="A8:C13"/>
  <tableColumns count="3">
    <tableColumn id="1" name="Descvelocity"/>
    <tableColumn id="2" name="SliceVelocity"/>
    <tableColumn id="3" name="Percentua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7" name="tblTasksTimes" displayName="tblTasksTimes" ref="A2:I5" totalsRowShown="0">
  <autoFilter ref="A2:I5"/>
  <tableColumns count="9">
    <tableColumn id="1" name="idTemplate"/>
    <tableColumn id="2" name="Time"/>
    <tableColumn id="3" name="Perfil"/>
    <tableColumn id="4" name="Task"/>
    <tableColumn id="7" name="Distribuição" dataDxfId="72"/>
    <tableColumn id="5" name="IdBacklog"/>
    <tableColumn id="9" name="AbreviacaoIdBacklog" dataDxfId="71"/>
    <tableColumn id="6" name="Sequence"/>
    <tableColumn id="8" name="TarefaPai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13" name="tblItensBurnup" displayName="tblItensBurnup" ref="A8:E13" totalsRowShown="0" tableBorderDxfId="70">
  <autoFilter ref="A8:E13"/>
  <tableColumns count="5">
    <tableColumn id="1" name="BurnupItem"/>
    <tableColumn id="2" name="TasksDone"/>
    <tableColumn id="5" name="ColunaDataTarefas"/>
    <tableColumn id="4" name="ColunaValidacaoDataTarefas"/>
    <tableColumn id="3" name="Color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3" name="tblFeriados" displayName="tblFeriados" ref="A3:C19" totalsRowShown="0">
  <autoFilter ref="A3:C19"/>
  <tableColumns count="3">
    <tableColumn id="1" name="Feriado"/>
    <tableColumn id="2" name="Data" dataDxfId="69"/>
    <tableColumn id="3" name="Dia Semana">
      <calculatedColumnFormula>TEXT(B4,"dddd")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1" name="tblReleasePlanning" displayName="tblReleasePlanning" ref="A2:E3" totalsRowShown="0">
  <autoFilter ref="A2:E3"/>
  <tableColumns count="5">
    <tableColumn id="1" name="Periodo"/>
    <tableColumn id="2" name="DataInicial" dataDxfId="68"/>
    <tableColumn id="3" name="DataFinal" dataDxfId="67"/>
    <tableColumn id="5" name="Duracao" dataDxfId="66">
      <calculatedColumnFormula>tblReleasePlanning[DataFinal]-tblReleasePlanning[DataInicial]+1</calculatedColumnFormula>
    </tableColumn>
    <tableColumn id="54" name="Color" dataDxfId="6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2" name="tblBacklog" displayName="tblBacklog" ref="A2:Y183" totalsRowShown="0" headerRowDxfId="64" dataDxfId="62" headerRowBorderDxfId="63" tableBorderDxfId="61">
  <autoFilter ref="A2:Y183"/>
  <tableColumns count="25">
    <tableColumn id="1" name="id jira"/>
    <tableColumn id="2" name="ID JIRA VIVO" dataDxfId="60"/>
    <tableColumn id="3" name="Tema" dataDxfId="59"/>
    <tableColumn id="4" name="Épico" dataDxfId="58"/>
    <tableColumn id="5" name="Requisitos" dataDxfId="57"/>
    <tableColumn id="6" name="Critérios de Aceite do Usuário" dataDxfId="56"/>
    <tableColumn id="7" name="História de Usuário"/>
    <tableColumn id="8" name="Informações Complementares" dataDxfId="55"/>
    <tableColumn id="9" name="Anexos" dataDxfId="54"/>
    <tableColumn id="10" name="Escopo da História" dataDxfId="53"/>
    <tableColumn id="11" name="Release" dataDxfId="52"/>
    <tableColumn id="12" name="Dependencia" dataDxfId="51"/>
    <tableColumn id="13" name="Prioridade" dataDxfId="50"/>
    <tableColumn id="14" name="SEQUENCIA" dataDxfId="49"/>
    <tableColumn id="15" name="Funcional" dataDxfId="48"/>
    <tableColumn id="16" name="ITS" dataDxfId="47"/>
    <tableColumn id="17" name="DEV" dataDxfId="46"/>
    <tableColumn id="18" name="Banco de Dados" dataDxfId="45"/>
    <tableColumn id="19" name="PC Tecnologia N" dataDxfId="44"/>
    <tableColumn id="20" name="PC QA" dataDxfId="43"/>
    <tableColumn id="21" name="PC Total" dataDxfId="42">
      <calculatedColumnFormula>SUM(tblBacklog[[#This Row],[Funcional]:[PC QA]])</calculatedColumnFormula>
    </tableColumn>
    <tableColumn id="22" name="Status Maturidade" dataDxfId="41"/>
    <tableColumn id="23" name="Observações ou Pendências" dataDxfId="40"/>
    <tableColumn id="24" name="Dependência entre Histórias" dataDxfId="39"/>
    <tableColumn id="25" name="IDTEMPLATE" dataDxfId="38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4" name="Tabela4" displayName="Tabela4" ref="I2:I4" totalsRowShown="0">
  <autoFilter ref="I2:I4"/>
  <tableColumns count="1">
    <tableColumn id="1" name="Periodo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tblSquad" displayName="tblSquad" ref="A2:G14" headerRowCount="0" totalsRowShown="0">
  <tableColumns count="7">
    <tableColumn id="1" name="Squad"/>
    <tableColumn id="2" name="Perfil"/>
    <tableColumn id="3" name="Nome"/>
    <tableColumn id="5" name="Produtividade_Semanal" headerRowDxfId="37" dataDxfId="36"/>
    <tableColumn id="6" name="DtInicio" headerRowDxfId="35" dataDxfId="34"/>
    <tableColumn id="8" name="Part_Time" headerRowDxfId="33" dataDxfId="32"/>
    <tableColumn id="4" name="Color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2" name="tblPreviewPlanning" displayName="tblPreviewPlanning" ref="A2:J415" totalsRowShown="0" headerRowDxfId="31" dataDxfId="29" headerRowBorderDxfId="30" tableBorderDxfId="28" totalsRowBorderDxfId="27">
  <autoFilter ref="A2:J415"/>
  <tableColumns count="10">
    <tableColumn id="1" name="idJira" dataDxfId="0"/>
    <tableColumn id="2" name="idBacklog" dataDxfId="1"/>
    <tableColumn id="3" name="Time" dataDxfId="26"/>
    <tableColumn id="4" name="Perfil" dataDxfId="25"/>
    <tableColumn id="6" name="Task" dataDxfId="24"/>
    <tableColumn id="5" name="Nome" dataDxfId="4"/>
    <tableColumn id="9" name="Data" dataDxfId="2"/>
    <tableColumn id="7" name="Pts" dataDxfId="3"/>
    <tableColumn id="8" name="CapacidadeOcupada" dataDxfId="23"/>
    <tableColumn id="10" name="Part_Time" dataDxfId="22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id="10" name="tblTaksPlanning" displayName="tblTaksPlanning" ref="A2:S92" totalsRowShown="0" headerRowDxfId="21">
  <autoFilter ref="A2:S92"/>
  <sortState ref="A3:S3">
    <sortCondition ref="G2:G3"/>
  </sortState>
  <tableColumns count="19">
    <tableColumn id="1" name="idJira" dataDxfId="20"/>
    <tableColumn id="2" name="Sistema" dataDxfId="19"/>
    <tableColumn id="3" name="Time" dataDxfId="18"/>
    <tableColumn id="4" name="idBacklog" dataDxfId="17"/>
    <tableColumn id="5" name="Perfil" dataDxfId="16"/>
    <tableColumn id="6" name="Task" dataDxfId="15"/>
    <tableColumn id="7" name="Nome" dataDxfId="14"/>
    <tableColumn id="8" name="Sequencia" dataDxfId="13"/>
    <tableColumn id="9" name="Pontos" dataDxfId="12"/>
    <tableColumn id="10" name="Distribuição" dataDxfId="11"/>
    <tableColumn id="11" name="ProdSemana" dataDxfId="10"/>
    <tableColumn id="12" name="DistrxProd" dataDxfId="9"/>
    <tableColumn id="13" name="DtInicio" dataDxfId="8"/>
    <tableColumn id="14" name="DtFim" dataDxfId="7"/>
    <tableColumn id="16" name="idJiraPendente" dataDxfId="6"/>
    <tableColumn id="15" name="DtConclusao" dataDxfId="5"/>
    <tableColumn id="17" name="Comentarios"/>
    <tableColumn id="18" name="DevDone"/>
    <tableColumn id="20" name="Done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ctr">
          <a:defRPr sz="3000" b="1" i="0" u="sng" strike="noStrike">
            <a:solidFill>
              <a:srgbClr val="006400"/>
            </a:solidFill>
            <a:latin typeface="Bahnschrift" panose="020B0502040204020203" pitchFamily="34" charset="0"/>
            <a:cs typeface="Arial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3.xml"/><Relationship Id="rId5" Type="http://schemas.openxmlformats.org/officeDocument/2006/relationships/image" Target="../media/image11.emf"/><Relationship Id="rId4" Type="http://schemas.openxmlformats.org/officeDocument/2006/relationships/control" Target="../activeX/activeX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1.xml"/><Relationship Id="rId5" Type="http://schemas.openxmlformats.org/officeDocument/2006/relationships/table" Target="../tables/table5.xml"/><Relationship Id="rId4" Type="http://schemas.openxmlformats.org/officeDocument/2006/relationships/image" Target="../media/image12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2.xml"/><Relationship Id="rId4" Type="http://schemas.openxmlformats.org/officeDocument/2006/relationships/comments" Target="../comments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omments" Target="../comments2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7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14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.xml"/><Relationship Id="rId5" Type="http://schemas.openxmlformats.org/officeDocument/2006/relationships/image" Target="../media/image1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Home">
    <pageSetUpPr autoPageBreaks="0"/>
  </sheetPr>
  <dimension ref="A1:BF100"/>
  <sheetViews>
    <sheetView showGridLines="0" showRowColHeaders="0" zoomScaleNormal="100" zoomScaleSheetLayoutView="50" workbookViewId="0">
      <selection sqref="A1:C1"/>
    </sheetView>
  </sheetViews>
  <sheetFormatPr defaultRowHeight="15"/>
  <cols>
    <col min="2" max="2" width="11.42578125" customWidth="1"/>
    <col min="3" max="3" width="14.140625" customWidth="1"/>
  </cols>
  <sheetData>
    <row r="1" spans="1:58" ht="34.5" customHeight="1">
      <c r="A1" s="456" t="s">
        <v>61</v>
      </c>
      <c r="B1" s="456"/>
      <c r="C1" s="456"/>
      <c r="D1" s="457" t="s">
        <v>223</v>
      </c>
      <c r="E1" s="457"/>
      <c r="F1" s="457"/>
      <c r="G1" s="457"/>
      <c r="H1" s="457"/>
      <c r="I1" s="457"/>
      <c r="J1" s="457"/>
      <c r="K1" s="457"/>
      <c r="L1" s="457"/>
      <c r="M1" s="457"/>
      <c r="N1" s="457"/>
      <c r="O1" s="457"/>
      <c r="P1" s="457"/>
      <c r="Q1" s="457"/>
      <c r="R1" s="457"/>
      <c r="S1" s="457"/>
      <c r="T1" s="457"/>
      <c r="U1" s="457"/>
      <c r="V1" s="457"/>
      <c r="W1" s="457"/>
      <c r="X1" s="457"/>
      <c r="Y1" s="457"/>
      <c r="Z1" s="457"/>
      <c r="AA1" s="457"/>
      <c r="AB1" s="457"/>
      <c r="AC1" s="457"/>
      <c r="AD1" s="457"/>
      <c r="AE1" s="457"/>
      <c r="AF1" s="457"/>
      <c r="AG1" s="457"/>
      <c r="AH1" s="457"/>
      <c r="AI1" s="457"/>
      <c r="AJ1" s="457"/>
      <c r="AK1" s="457"/>
      <c r="AL1" s="457"/>
      <c r="AM1" s="457"/>
      <c r="AN1" s="457"/>
      <c r="AO1" s="457"/>
      <c r="AP1" s="457"/>
      <c r="AQ1" s="457"/>
      <c r="AR1" s="457"/>
      <c r="AS1" s="457"/>
      <c r="AT1" s="457"/>
      <c r="AU1" s="457"/>
      <c r="AV1" s="457"/>
      <c r="AW1" s="457"/>
      <c r="AX1" s="457"/>
      <c r="AY1" s="457"/>
      <c r="AZ1" s="457"/>
      <c r="BA1" s="457"/>
      <c r="BB1" s="457"/>
      <c r="BC1" s="457"/>
      <c r="BD1" s="457"/>
      <c r="BE1" s="457"/>
      <c r="BF1" s="457"/>
    </row>
    <row r="2" spans="1:58" ht="62.25">
      <c r="A2" s="114"/>
      <c r="B2" s="459" t="s">
        <v>58</v>
      </c>
      <c r="C2" s="459"/>
      <c r="D2" s="459"/>
      <c r="E2" s="459"/>
      <c r="F2" s="459"/>
      <c r="G2" s="459"/>
      <c r="H2" s="459"/>
      <c r="I2" s="459"/>
      <c r="J2" s="459"/>
      <c r="K2" s="459"/>
      <c r="L2" s="459"/>
      <c r="M2" s="459"/>
      <c r="N2" s="459"/>
      <c r="O2" s="459"/>
      <c r="P2" s="459"/>
      <c r="Q2" s="459"/>
      <c r="R2" s="459"/>
      <c r="S2" s="114"/>
      <c r="T2" s="114"/>
      <c r="U2" s="114"/>
      <c r="V2" s="113"/>
      <c r="W2" s="113"/>
      <c r="X2" s="113"/>
      <c r="Y2" s="113"/>
      <c r="Z2" s="113"/>
      <c r="AA2" s="113"/>
      <c r="AB2" s="113"/>
      <c r="AC2" s="113"/>
      <c r="AD2" s="113"/>
      <c r="AE2" s="113"/>
      <c r="AF2" s="113"/>
      <c r="AG2" s="113"/>
      <c r="AH2" s="113"/>
      <c r="AI2" s="113"/>
      <c r="AJ2" s="113"/>
      <c r="AK2" s="113"/>
      <c r="AL2" s="113"/>
      <c r="AM2" s="113"/>
      <c r="AN2" s="113"/>
      <c r="AO2" s="113"/>
      <c r="AP2" s="113"/>
      <c r="AQ2" s="113"/>
      <c r="AR2" s="113"/>
      <c r="AS2" s="113"/>
      <c r="AT2" s="113"/>
      <c r="AU2" s="113"/>
      <c r="AV2" s="113"/>
      <c r="AW2" s="113"/>
      <c r="AX2" s="113"/>
      <c r="AY2" s="113"/>
      <c r="AZ2" s="113"/>
      <c r="BA2" s="113"/>
      <c r="BB2" s="113"/>
      <c r="BC2" s="113"/>
      <c r="BD2" s="113"/>
      <c r="BE2" s="113"/>
      <c r="BF2" s="113"/>
    </row>
    <row r="3" spans="1:58" ht="51" customHeight="1">
      <c r="A3" s="114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4"/>
      <c r="V3" s="113"/>
      <c r="W3" s="113"/>
      <c r="X3" s="113"/>
      <c r="Y3" s="113"/>
      <c r="Z3" s="113"/>
      <c r="AA3" s="113"/>
      <c r="AB3" s="113"/>
      <c r="AC3" s="113"/>
      <c r="AD3" s="113"/>
      <c r="AE3" s="113"/>
      <c r="AF3" s="113"/>
      <c r="AG3" s="113"/>
      <c r="AH3" s="113"/>
      <c r="AI3" s="113"/>
      <c r="AJ3" s="113"/>
      <c r="AK3" s="113"/>
      <c r="AL3" s="113"/>
      <c r="AM3" s="113"/>
      <c r="AN3" s="113"/>
      <c r="AO3" s="113"/>
      <c r="AP3" s="113"/>
      <c r="AQ3" s="113"/>
      <c r="AR3" s="113"/>
      <c r="AS3" s="113"/>
      <c r="AT3" s="113"/>
      <c r="AU3" s="113"/>
      <c r="AV3" s="113"/>
      <c r="AW3" s="113"/>
      <c r="AX3" s="113"/>
      <c r="AY3" s="113"/>
      <c r="AZ3" s="113"/>
      <c r="BA3" s="113"/>
      <c r="BB3" s="113"/>
      <c r="BC3" s="113"/>
      <c r="BD3" s="113"/>
      <c r="BE3" s="113"/>
      <c r="BF3" s="113"/>
    </row>
    <row r="4" spans="1:58">
      <c r="A4" s="458"/>
      <c r="B4" s="458"/>
      <c r="C4" s="39"/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  <c r="Q4" s="39"/>
      <c r="R4" s="39"/>
      <c r="S4" s="39"/>
      <c r="T4" s="39"/>
      <c r="U4" s="39"/>
      <c r="V4" s="113"/>
      <c r="W4" s="113"/>
      <c r="X4" s="113"/>
      <c r="Y4" s="113"/>
      <c r="Z4" s="113"/>
      <c r="AA4" s="113"/>
      <c r="AB4" s="113"/>
      <c r="AC4" s="113"/>
      <c r="AD4" s="113"/>
      <c r="AE4" s="113"/>
      <c r="AF4" s="113"/>
      <c r="AG4" s="113"/>
      <c r="AH4" s="113"/>
      <c r="AI4" s="113"/>
      <c r="AJ4" s="113"/>
      <c r="AK4" s="113"/>
      <c r="AL4" s="113"/>
      <c r="AM4" s="113"/>
      <c r="AN4" s="113"/>
      <c r="AO4" s="113"/>
      <c r="AP4" s="113"/>
      <c r="AQ4" s="113"/>
      <c r="AR4" s="113"/>
      <c r="AS4" s="113"/>
      <c r="AT4" s="113"/>
      <c r="AU4" s="113"/>
      <c r="AV4" s="113"/>
      <c r="AW4" s="113"/>
      <c r="AX4" s="113"/>
      <c r="AY4" s="113"/>
      <c r="AZ4" s="113"/>
      <c r="BA4" s="113"/>
      <c r="BB4" s="113"/>
      <c r="BC4" s="113"/>
      <c r="BD4" s="113"/>
      <c r="BE4" s="113"/>
      <c r="BF4" s="113"/>
    </row>
    <row r="5" spans="1:58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  <c r="Q5" s="39"/>
      <c r="R5" s="39"/>
      <c r="S5" s="39"/>
      <c r="T5" s="39"/>
      <c r="U5" s="39"/>
      <c r="V5" s="113"/>
      <c r="W5" s="113"/>
      <c r="X5" s="113"/>
      <c r="Y5" s="113"/>
      <c r="Z5" s="113"/>
      <c r="AA5" s="113"/>
      <c r="AB5" s="113"/>
      <c r="AC5" s="113"/>
      <c r="AD5" s="113"/>
      <c r="AE5" s="113"/>
      <c r="AF5" s="113"/>
      <c r="AG5" s="113"/>
      <c r="AH5" s="113"/>
      <c r="AI5" s="113"/>
      <c r="AJ5" s="113"/>
      <c r="AK5" s="113"/>
      <c r="AL5" s="113"/>
      <c r="AM5" s="113"/>
      <c r="AN5" s="113"/>
      <c r="AO5" s="113"/>
      <c r="AP5" s="113"/>
      <c r="AQ5" s="113"/>
      <c r="AR5" s="113"/>
      <c r="AS5" s="113"/>
      <c r="AT5" s="113"/>
      <c r="AU5" s="113"/>
      <c r="AV5" s="113"/>
      <c r="AW5" s="113"/>
      <c r="AX5" s="113"/>
      <c r="AY5" s="113"/>
      <c r="AZ5" s="113"/>
      <c r="BA5" s="113"/>
      <c r="BB5" s="113"/>
      <c r="BC5" s="113"/>
      <c r="BD5" s="113"/>
      <c r="BE5" s="113"/>
      <c r="BF5" s="113"/>
    </row>
    <row r="6" spans="1:58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  <c r="Q6" s="39"/>
      <c r="R6" s="39"/>
      <c r="S6" s="39"/>
      <c r="T6" s="39"/>
      <c r="U6" s="39"/>
      <c r="V6" s="113"/>
      <c r="W6" s="113"/>
      <c r="X6" s="113"/>
      <c r="Y6" s="113"/>
      <c r="Z6" s="113"/>
      <c r="AA6" s="113"/>
      <c r="AB6" s="113"/>
      <c r="AC6" s="113"/>
      <c r="AD6" s="113"/>
      <c r="AE6" s="113"/>
      <c r="AF6" s="113"/>
      <c r="AG6" s="113"/>
      <c r="AH6" s="113"/>
      <c r="AI6" s="113"/>
      <c r="AJ6" s="113"/>
      <c r="AK6" s="113"/>
      <c r="AL6" s="113"/>
      <c r="AM6" s="113"/>
      <c r="AN6" s="113"/>
      <c r="AO6" s="113"/>
      <c r="AP6" s="113"/>
      <c r="AQ6" s="113"/>
      <c r="AR6" s="113"/>
      <c r="AS6" s="113"/>
      <c r="AT6" s="113"/>
      <c r="AU6" s="113"/>
      <c r="AV6" s="113"/>
      <c r="AW6" s="113"/>
      <c r="AX6" s="113"/>
      <c r="AY6" s="113"/>
      <c r="AZ6" s="113"/>
      <c r="BA6" s="113"/>
      <c r="BB6" s="113"/>
      <c r="BC6" s="113"/>
      <c r="BD6" s="113"/>
      <c r="BE6" s="113"/>
      <c r="BF6" s="113"/>
    </row>
    <row r="7" spans="1:58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  <c r="M7" s="39"/>
      <c r="N7" s="39"/>
      <c r="O7" s="39"/>
      <c r="P7" s="39"/>
      <c r="Q7" s="39"/>
      <c r="R7" s="39"/>
      <c r="S7" s="39"/>
      <c r="T7" s="39"/>
      <c r="U7" s="39"/>
      <c r="V7" s="113"/>
      <c r="W7" s="113"/>
      <c r="X7" s="113"/>
      <c r="Y7" s="113"/>
      <c r="Z7" s="113"/>
      <c r="AA7" s="113"/>
      <c r="AB7" s="113"/>
      <c r="AC7" s="113"/>
      <c r="AD7" s="113"/>
      <c r="AE7" s="113"/>
      <c r="AF7" s="113"/>
      <c r="AG7" s="113"/>
      <c r="AH7" s="113"/>
      <c r="AI7" s="113"/>
      <c r="AJ7" s="113"/>
      <c r="AK7" s="113"/>
      <c r="AL7" s="113"/>
      <c r="AM7" s="113"/>
      <c r="AN7" s="113"/>
      <c r="AO7" s="113"/>
      <c r="AP7" s="113"/>
      <c r="AQ7" s="113"/>
      <c r="AR7" s="113"/>
      <c r="AS7" s="113"/>
      <c r="AT7" s="113"/>
      <c r="AU7" s="113"/>
      <c r="AV7" s="113"/>
      <c r="AW7" s="113"/>
      <c r="AX7" s="113"/>
      <c r="AY7" s="113"/>
      <c r="AZ7" s="113"/>
      <c r="BA7" s="113"/>
      <c r="BB7" s="113"/>
      <c r="BC7" s="113"/>
      <c r="BD7" s="113"/>
      <c r="BE7" s="113"/>
      <c r="BF7" s="113"/>
    </row>
    <row r="8" spans="1:58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113"/>
      <c r="W8" s="113"/>
      <c r="X8" s="113"/>
      <c r="Y8" s="113"/>
      <c r="Z8" s="113"/>
      <c r="AA8" s="113"/>
      <c r="AB8" s="113"/>
      <c r="AC8" s="113"/>
      <c r="AD8" s="113"/>
      <c r="AE8" s="113"/>
      <c r="AF8" s="113"/>
      <c r="AG8" s="113"/>
      <c r="AH8" s="113"/>
      <c r="AI8" s="113"/>
      <c r="AJ8" s="113"/>
      <c r="AK8" s="113"/>
      <c r="AL8" s="113"/>
      <c r="AM8" s="113"/>
      <c r="AN8" s="113"/>
      <c r="AO8" s="113"/>
      <c r="AP8" s="113"/>
      <c r="AQ8" s="113"/>
      <c r="AR8" s="113"/>
      <c r="AS8" s="113"/>
      <c r="AT8" s="113"/>
      <c r="AU8" s="113"/>
      <c r="AV8" s="113"/>
      <c r="AW8" s="113"/>
      <c r="AX8" s="113"/>
      <c r="AY8" s="113"/>
      <c r="AZ8" s="113"/>
      <c r="BA8" s="113"/>
      <c r="BB8" s="113"/>
      <c r="BC8" s="113"/>
      <c r="BD8" s="113"/>
      <c r="BE8" s="113"/>
      <c r="BF8" s="113"/>
    </row>
    <row r="9" spans="1:58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113"/>
      <c r="W9" s="113"/>
      <c r="X9" s="113"/>
      <c r="Y9" s="113"/>
      <c r="Z9" s="113"/>
      <c r="AA9" s="113"/>
      <c r="AB9" s="113"/>
      <c r="AC9" s="113"/>
      <c r="AD9" s="113"/>
      <c r="AE9" s="113"/>
      <c r="AF9" s="113"/>
      <c r="AG9" s="113"/>
      <c r="AH9" s="113"/>
      <c r="AI9" s="113"/>
      <c r="AJ9" s="113"/>
      <c r="AK9" s="113"/>
      <c r="AL9" s="113"/>
      <c r="AM9" s="113"/>
      <c r="AN9" s="113"/>
      <c r="AO9" s="113"/>
      <c r="AP9" s="113"/>
      <c r="AQ9" s="113"/>
      <c r="AR9" s="113"/>
      <c r="AS9" s="113"/>
      <c r="AT9" s="113"/>
      <c r="AU9" s="113"/>
      <c r="AV9" s="113"/>
      <c r="AW9" s="113"/>
      <c r="AX9" s="113"/>
      <c r="AY9" s="113"/>
      <c r="AZ9" s="113"/>
      <c r="BA9" s="113"/>
      <c r="BB9" s="113"/>
      <c r="BC9" s="113"/>
      <c r="BD9" s="113"/>
      <c r="BE9" s="113"/>
      <c r="BF9" s="113"/>
    </row>
    <row r="10" spans="1:58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113"/>
      <c r="W10" s="113"/>
      <c r="X10" s="113"/>
      <c r="Y10" s="113"/>
      <c r="Z10" s="113"/>
      <c r="AA10" s="113"/>
      <c r="AB10" s="113"/>
      <c r="AC10" s="113"/>
      <c r="AD10" s="113"/>
      <c r="AE10" s="113"/>
      <c r="AF10" s="113"/>
      <c r="AG10" s="113"/>
      <c r="AH10" s="113"/>
      <c r="AI10" s="113"/>
      <c r="AJ10" s="113"/>
      <c r="AK10" s="113"/>
      <c r="AL10" s="113"/>
      <c r="AM10" s="113"/>
      <c r="AN10" s="113"/>
      <c r="AO10" s="113"/>
      <c r="AP10" s="113"/>
      <c r="AQ10" s="113"/>
      <c r="AR10" s="113"/>
      <c r="AS10" s="113"/>
      <c r="AT10" s="113"/>
      <c r="AU10" s="113"/>
      <c r="AV10" s="113"/>
      <c r="AW10" s="113"/>
      <c r="AX10" s="113"/>
      <c r="AY10" s="113"/>
      <c r="AZ10" s="113"/>
      <c r="BA10" s="113"/>
      <c r="BB10" s="113"/>
      <c r="BC10" s="113"/>
      <c r="BD10" s="113"/>
      <c r="BE10" s="113"/>
      <c r="BF10" s="113"/>
    </row>
    <row r="11" spans="1:58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113"/>
      <c r="W11" s="113"/>
      <c r="X11" s="113"/>
      <c r="Y11" s="113"/>
      <c r="Z11" s="113"/>
      <c r="AA11" s="113"/>
      <c r="AB11" s="113"/>
      <c r="AC11" s="113"/>
      <c r="AD11" s="113"/>
      <c r="AE11" s="113"/>
      <c r="AF11" s="113"/>
      <c r="AG11" s="113"/>
      <c r="AH11" s="113"/>
      <c r="AI11" s="113"/>
      <c r="AJ11" s="113"/>
      <c r="AK11" s="113"/>
      <c r="AL11" s="113"/>
      <c r="AM11" s="113"/>
      <c r="AN11" s="113"/>
      <c r="AO11" s="113"/>
      <c r="AP11" s="113"/>
      <c r="AQ11" s="113"/>
      <c r="AR11" s="113"/>
      <c r="AS11" s="113"/>
      <c r="AT11" s="113"/>
      <c r="AU11" s="113"/>
      <c r="AV11" s="113"/>
      <c r="AW11" s="113"/>
      <c r="AX11" s="113"/>
      <c r="AY11" s="113"/>
      <c r="AZ11" s="113"/>
      <c r="BA11" s="113"/>
      <c r="BB11" s="113"/>
      <c r="BC11" s="113"/>
      <c r="BD11" s="113"/>
      <c r="BE11" s="113"/>
      <c r="BF11" s="113"/>
    </row>
    <row r="12" spans="1:58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113"/>
      <c r="W12" s="113"/>
      <c r="X12" s="113"/>
      <c r="Y12" s="113"/>
      <c r="Z12" s="113"/>
      <c r="AA12" s="113"/>
      <c r="AB12" s="113"/>
      <c r="AC12" s="113"/>
      <c r="AD12" s="113"/>
      <c r="AE12" s="113"/>
      <c r="AF12" s="113"/>
      <c r="AG12" s="113"/>
      <c r="AH12" s="113"/>
      <c r="AI12" s="113"/>
      <c r="AJ12" s="113"/>
      <c r="AK12" s="113"/>
      <c r="AL12" s="113"/>
      <c r="AM12" s="113"/>
      <c r="AN12" s="113"/>
      <c r="AO12" s="113"/>
      <c r="AP12" s="113"/>
      <c r="AQ12" s="113"/>
      <c r="AR12" s="113"/>
      <c r="AS12" s="113"/>
      <c r="AT12" s="113"/>
      <c r="AU12" s="113"/>
      <c r="AV12" s="113"/>
      <c r="AW12" s="113"/>
      <c r="AX12" s="113"/>
      <c r="AY12" s="113"/>
      <c r="AZ12" s="113"/>
      <c r="BA12" s="113"/>
      <c r="BB12" s="113"/>
      <c r="BC12" s="113"/>
      <c r="BD12" s="113"/>
      <c r="BE12" s="113"/>
      <c r="BF12" s="113"/>
    </row>
    <row r="13" spans="1:58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113"/>
      <c r="W13" s="113"/>
      <c r="X13" s="113"/>
      <c r="Y13" s="113"/>
      <c r="Z13" s="113"/>
      <c r="AA13" s="113"/>
      <c r="AB13" s="113"/>
      <c r="AC13" s="113"/>
      <c r="AD13" s="113"/>
      <c r="AE13" s="113"/>
      <c r="AF13" s="113"/>
      <c r="AG13" s="113"/>
      <c r="AH13" s="113"/>
      <c r="AI13" s="113"/>
      <c r="AJ13" s="113"/>
      <c r="AK13" s="113"/>
      <c r="AL13" s="113"/>
      <c r="AM13" s="113"/>
      <c r="AN13" s="113"/>
      <c r="AO13" s="113"/>
      <c r="AP13" s="113"/>
      <c r="AQ13" s="113"/>
      <c r="AR13" s="113"/>
      <c r="AS13" s="113"/>
      <c r="AT13" s="113"/>
      <c r="AU13" s="113"/>
      <c r="AV13" s="113"/>
      <c r="AW13" s="113"/>
      <c r="AX13" s="113"/>
      <c r="AY13" s="113"/>
      <c r="AZ13" s="113"/>
      <c r="BA13" s="113"/>
      <c r="BB13" s="113"/>
      <c r="BC13" s="113"/>
      <c r="BD13" s="113"/>
      <c r="BE13" s="113"/>
      <c r="BF13" s="113"/>
    </row>
    <row r="14" spans="1:58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113"/>
      <c r="W14" s="113"/>
      <c r="X14" s="113"/>
      <c r="Y14" s="113"/>
      <c r="Z14" s="113"/>
      <c r="AA14" s="113"/>
      <c r="AB14" s="113"/>
      <c r="AC14" s="113"/>
      <c r="AD14" s="113"/>
      <c r="AE14" s="113"/>
      <c r="AF14" s="113"/>
      <c r="AG14" s="113"/>
      <c r="AH14" s="113"/>
      <c r="AI14" s="113"/>
      <c r="AJ14" s="113"/>
      <c r="AK14" s="113"/>
      <c r="AL14" s="113"/>
      <c r="AM14" s="113"/>
      <c r="AN14" s="113"/>
      <c r="AO14" s="113"/>
      <c r="AP14" s="113"/>
      <c r="AQ14" s="113"/>
      <c r="AR14" s="113"/>
      <c r="AS14" s="113"/>
      <c r="AT14" s="113"/>
      <c r="AU14" s="113"/>
      <c r="AV14" s="113"/>
      <c r="AW14" s="113"/>
      <c r="AX14" s="113"/>
      <c r="AY14" s="113"/>
      <c r="AZ14" s="113"/>
      <c r="BA14" s="113"/>
      <c r="BB14" s="113"/>
      <c r="BC14" s="113"/>
      <c r="BD14" s="113"/>
      <c r="BE14" s="113"/>
      <c r="BF14" s="113"/>
    </row>
    <row r="15" spans="1:58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113"/>
      <c r="W15" s="113"/>
      <c r="X15" s="113"/>
      <c r="Y15" s="113"/>
      <c r="Z15" s="113"/>
      <c r="AA15" s="113"/>
      <c r="AB15" s="113"/>
      <c r="AC15" s="113"/>
      <c r="AD15" s="113"/>
      <c r="AE15" s="113"/>
      <c r="AF15" s="113"/>
      <c r="AG15" s="113"/>
      <c r="AH15" s="113"/>
      <c r="AI15" s="113"/>
      <c r="AJ15" s="113"/>
      <c r="AK15" s="113"/>
      <c r="AL15" s="113"/>
      <c r="AM15" s="113"/>
      <c r="AN15" s="113"/>
      <c r="AO15" s="113"/>
      <c r="AP15" s="113"/>
      <c r="AQ15" s="113"/>
      <c r="AR15" s="113"/>
      <c r="AS15" s="113"/>
      <c r="AT15" s="113"/>
      <c r="AU15" s="113"/>
      <c r="AV15" s="113"/>
      <c r="AW15" s="113"/>
      <c r="AX15" s="113"/>
      <c r="AY15" s="113"/>
      <c r="AZ15" s="113"/>
      <c r="BA15" s="113"/>
      <c r="BB15" s="113"/>
      <c r="BC15" s="113"/>
      <c r="BD15" s="113"/>
      <c r="BE15" s="113"/>
      <c r="BF15" s="113"/>
    </row>
    <row r="16" spans="1:58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113"/>
      <c r="W16" s="113"/>
      <c r="X16" s="113"/>
      <c r="Y16" s="113"/>
      <c r="Z16" s="113"/>
      <c r="AA16" s="113"/>
      <c r="AB16" s="113"/>
      <c r="AC16" s="113"/>
      <c r="AD16" s="113"/>
      <c r="AE16" s="113"/>
      <c r="AF16" s="113"/>
      <c r="AG16" s="113"/>
      <c r="AH16" s="113"/>
      <c r="AI16" s="113"/>
      <c r="AJ16" s="113"/>
      <c r="AK16" s="113"/>
      <c r="AL16" s="113"/>
      <c r="AM16" s="113"/>
      <c r="AN16" s="113"/>
      <c r="AO16" s="113"/>
      <c r="AP16" s="113"/>
      <c r="AQ16" s="113"/>
      <c r="AR16" s="113"/>
      <c r="AS16" s="113"/>
      <c r="AT16" s="113"/>
      <c r="AU16" s="113"/>
      <c r="AV16" s="113"/>
      <c r="AW16" s="113"/>
      <c r="AX16" s="113"/>
      <c r="AY16" s="113"/>
      <c r="AZ16" s="113"/>
      <c r="BA16" s="113"/>
      <c r="BB16" s="113"/>
      <c r="BC16" s="113"/>
      <c r="BD16" s="113"/>
      <c r="BE16" s="113"/>
      <c r="BF16" s="113"/>
    </row>
    <row r="17" spans="1:58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113"/>
      <c r="W17" s="113"/>
      <c r="X17" s="113"/>
      <c r="Y17" s="113"/>
      <c r="Z17" s="113"/>
      <c r="AA17" s="113"/>
      <c r="AB17" s="113"/>
      <c r="AC17" s="113"/>
      <c r="AD17" s="113"/>
      <c r="AE17" s="113"/>
      <c r="AF17" s="113"/>
      <c r="AG17" s="113"/>
      <c r="AH17" s="113"/>
      <c r="AI17" s="113"/>
      <c r="AJ17" s="113"/>
      <c r="AK17" s="113"/>
      <c r="AL17" s="113"/>
      <c r="AM17" s="113"/>
      <c r="AN17" s="113"/>
      <c r="AO17" s="113"/>
      <c r="AP17" s="113"/>
      <c r="AQ17" s="113"/>
      <c r="AR17" s="113"/>
      <c r="AS17" s="113"/>
      <c r="AT17" s="113"/>
      <c r="AU17" s="113"/>
      <c r="AV17" s="113"/>
      <c r="AW17" s="113"/>
      <c r="AX17" s="113"/>
      <c r="AY17" s="113"/>
      <c r="AZ17" s="113"/>
      <c r="BA17" s="113"/>
      <c r="BB17" s="113"/>
      <c r="BC17" s="113"/>
      <c r="BD17" s="113"/>
      <c r="BE17" s="113"/>
      <c r="BF17" s="113"/>
    </row>
    <row r="18" spans="1:58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113"/>
      <c r="W18" s="113"/>
      <c r="X18" s="113"/>
      <c r="Y18" s="113"/>
      <c r="Z18" s="113"/>
      <c r="AA18" s="113"/>
      <c r="AB18" s="113"/>
      <c r="AC18" s="113"/>
      <c r="AD18" s="113"/>
      <c r="AE18" s="113"/>
      <c r="AF18" s="113"/>
      <c r="AG18" s="113"/>
      <c r="AH18" s="113"/>
      <c r="AI18" s="113"/>
      <c r="AJ18" s="113"/>
      <c r="AK18" s="113"/>
      <c r="AL18" s="113"/>
      <c r="AM18" s="113"/>
      <c r="AN18" s="113"/>
      <c r="AO18" s="113"/>
      <c r="AP18" s="113"/>
      <c r="AQ18" s="113"/>
      <c r="AR18" s="113"/>
      <c r="AS18" s="113"/>
      <c r="AT18" s="113"/>
      <c r="AU18" s="113"/>
      <c r="AV18" s="113"/>
      <c r="AW18" s="113"/>
      <c r="AX18" s="113"/>
      <c r="AY18" s="113"/>
      <c r="AZ18" s="113"/>
      <c r="BA18" s="113"/>
      <c r="BB18" s="113"/>
      <c r="BC18" s="113"/>
      <c r="BD18" s="113"/>
      <c r="BE18" s="113"/>
      <c r="BF18" s="113"/>
    </row>
    <row r="19" spans="1:58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  <c r="N19" s="39"/>
      <c r="O19" s="39"/>
      <c r="P19" s="39"/>
      <c r="Q19" s="39"/>
      <c r="R19" s="39"/>
      <c r="S19" s="39"/>
      <c r="T19" s="39"/>
      <c r="U19" s="39"/>
      <c r="V19" s="113"/>
      <c r="W19" s="113"/>
      <c r="X19" s="113"/>
      <c r="Y19" s="113"/>
      <c r="Z19" s="113"/>
      <c r="AA19" s="113"/>
      <c r="AB19" s="113"/>
      <c r="AC19" s="113"/>
      <c r="AD19" s="113"/>
      <c r="AE19" s="113"/>
      <c r="AF19" s="113"/>
      <c r="AG19" s="113"/>
      <c r="AH19" s="113"/>
      <c r="AI19" s="113"/>
      <c r="AJ19" s="113"/>
      <c r="AK19" s="113"/>
      <c r="AL19" s="113"/>
      <c r="AM19" s="113"/>
      <c r="AN19" s="113"/>
      <c r="AO19" s="113"/>
      <c r="AP19" s="113"/>
      <c r="AQ19" s="113"/>
      <c r="AR19" s="113"/>
      <c r="AS19" s="113"/>
      <c r="AT19" s="113"/>
      <c r="AU19" s="113"/>
      <c r="AV19" s="113"/>
      <c r="AW19" s="113"/>
      <c r="AX19" s="113"/>
      <c r="AY19" s="113"/>
      <c r="AZ19" s="113"/>
      <c r="BA19" s="113"/>
      <c r="BB19" s="113"/>
      <c r="BC19" s="113"/>
      <c r="BD19" s="113"/>
      <c r="BE19" s="113"/>
      <c r="BF19" s="113"/>
    </row>
    <row r="20" spans="1:58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3"/>
      <c r="AH20" s="113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3"/>
      <c r="AW20" s="113"/>
      <c r="AX20" s="113"/>
      <c r="AY20" s="113"/>
      <c r="AZ20" s="113"/>
      <c r="BA20" s="113"/>
      <c r="BB20" s="113"/>
      <c r="BC20" s="113"/>
      <c r="BD20" s="113"/>
      <c r="BE20" s="113"/>
      <c r="BF20" s="113"/>
    </row>
    <row r="21" spans="1:58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113"/>
      <c r="W21" s="113"/>
      <c r="X21" s="113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13"/>
      <c r="AM21" s="113"/>
      <c r="AN21" s="113"/>
      <c r="AO21" s="113"/>
      <c r="AP21" s="113"/>
      <c r="AQ21" s="113"/>
      <c r="AR21" s="113"/>
      <c r="AS21" s="113"/>
      <c r="AT21" s="113"/>
      <c r="AU21" s="113"/>
      <c r="AV21" s="113"/>
      <c r="AW21" s="113"/>
      <c r="AX21" s="113"/>
      <c r="AY21" s="113"/>
      <c r="AZ21" s="113"/>
      <c r="BA21" s="113"/>
      <c r="BB21" s="113"/>
      <c r="BC21" s="113"/>
      <c r="BD21" s="113"/>
      <c r="BE21" s="113"/>
      <c r="BF21" s="113"/>
    </row>
    <row r="22" spans="1:58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113"/>
      <c r="W22" s="113"/>
      <c r="X22" s="113"/>
      <c r="Y22" s="113"/>
      <c r="Z22" s="113"/>
      <c r="AA22" s="113"/>
      <c r="AB22" s="113"/>
      <c r="AC22" s="113"/>
      <c r="AD22" s="113"/>
      <c r="AE22" s="113"/>
      <c r="AF22" s="113"/>
      <c r="AG22" s="113"/>
      <c r="AH22" s="113"/>
      <c r="AI22" s="113"/>
      <c r="AJ22" s="113"/>
      <c r="AK22" s="113"/>
      <c r="AL22" s="113"/>
      <c r="AM22" s="113"/>
      <c r="AN22" s="113"/>
      <c r="AO22" s="113"/>
      <c r="AP22" s="113"/>
      <c r="AQ22" s="113"/>
      <c r="AR22" s="113"/>
      <c r="AS22" s="113"/>
      <c r="AT22" s="113"/>
      <c r="AU22" s="113"/>
      <c r="AV22" s="113"/>
      <c r="AW22" s="113"/>
      <c r="AX22" s="113"/>
      <c r="AY22" s="113"/>
      <c r="AZ22" s="113"/>
      <c r="BA22" s="113"/>
      <c r="BB22" s="113"/>
      <c r="BC22" s="113"/>
      <c r="BD22" s="113"/>
      <c r="BE22" s="113"/>
      <c r="BF22" s="113"/>
    </row>
    <row r="23" spans="1:58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113"/>
      <c r="W23" s="113"/>
      <c r="X23" s="113"/>
      <c r="Y23" s="113"/>
      <c r="Z23" s="113"/>
      <c r="AA23" s="113"/>
      <c r="AB23" s="113"/>
      <c r="AC23" s="113"/>
      <c r="AD23" s="113"/>
      <c r="AE23" s="113"/>
      <c r="AF23" s="113"/>
      <c r="AG23" s="113"/>
      <c r="AH23" s="113"/>
      <c r="AI23" s="113"/>
      <c r="AJ23" s="113"/>
      <c r="AK23" s="113"/>
      <c r="AL23" s="113"/>
      <c r="AM23" s="113"/>
      <c r="AN23" s="113"/>
      <c r="AO23" s="113"/>
      <c r="AP23" s="113"/>
      <c r="AQ23" s="113"/>
      <c r="AR23" s="113"/>
      <c r="AS23" s="113"/>
      <c r="AT23" s="113"/>
      <c r="AU23" s="113"/>
      <c r="AV23" s="113"/>
      <c r="AW23" s="113"/>
      <c r="AX23" s="113"/>
      <c r="AY23" s="113"/>
      <c r="AZ23" s="113"/>
      <c r="BA23" s="113"/>
      <c r="BB23" s="113"/>
      <c r="BC23" s="113"/>
      <c r="BD23" s="113"/>
      <c r="BE23" s="113"/>
      <c r="BF23" s="113"/>
    </row>
    <row r="24" spans="1:58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113"/>
      <c r="W24" s="113"/>
      <c r="X24" s="113"/>
      <c r="Y24" s="113"/>
      <c r="Z24" s="113"/>
      <c r="AA24" s="113"/>
      <c r="AB24" s="113"/>
      <c r="AC24" s="113"/>
      <c r="AD24" s="113"/>
      <c r="AE24" s="113"/>
      <c r="AF24" s="113"/>
      <c r="AG24" s="113"/>
      <c r="AH24" s="113"/>
      <c r="AI24" s="113"/>
      <c r="AJ24" s="113"/>
      <c r="AK24" s="113"/>
      <c r="AL24" s="113"/>
      <c r="AM24" s="113"/>
      <c r="AN24" s="113"/>
      <c r="AO24" s="113"/>
      <c r="AP24" s="113"/>
      <c r="AQ24" s="113"/>
      <c r="AR24" s="113"/>
      <c r="AS24" s="113"/>
      <c r="AT24" s="113"/>
      <c r="AU24" s="113"/>
      <c r="AV24" s="113"/>
      <c r="AW24" s="113"/>
      <c r="AX24" s="113"/>
      <c r="AY24" s="113"/>
      <c r="AZ24" s="113"/>
      <c r="BA24" s="113"/>
      <c r="BB24" s="113"/>
      <c r="BC24" s="113"/>
      <c r="BD24" s="113"/>
      <c r="BE24" s="113"/>
      <c r="BF24" s="113"/>
    </row>
    <row r="25" spans="1:58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113"/>
      <c r="W25" s="113"/>
      <c r="X25" s="113"/>
      <c r="Y25" s="113"/>
      <c r="Z25" s="113"/>
      <c r="AA25" s="113"/>
      <c r="AB25" s="113"/>
      <c r="AC25" s="113"/>
      <c r="AD25" s="113"/>
      <c r="AE25" s="113"/>
      <c r="AF25" s="113"/>
      <c r="AG25" s="113"/>
      <c r="AH25" s="113"/>
      <c r="AI25" s="113"/>
      <c r="AJ25" s="113"/>
      <c r="AK25" s="113"/>
      <c r="AL25" s="113"/>
      <c r="AM25" s="113"/>
      <c r="AN25" s="113"/>
      <c r="AO25" s="113"/>
      <c r="AP25" s="113"/>
      <c r="AQ25" s="113"/>
      <c r="AR25" s="113"/>
      <c r="AS25" s="113"/>
      <c r="AT25" s="113"/>
      <c r="AU25" s="113"/>
      <c r="AV25" s="113"/>
      <c r="AW25" s="113"/>
      <c r="AX25" s="113"/>
      <c r="AY25" s="113"/>
      <c r="AZ25" s="113"/>
      <c r="BA25" s="113"/>
      <c r="BB25" s="113"/>
      <c r="BC25" s="113"/>
      <c r="BD25" s="113"/>
      <c r="BE25" s="113"/>
      <c r="BF25" s="113"/>
    </row>
    <row r="26" spans="1:58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113"/>
      <c r="W26" s="113"/>
      <c r="X26" s="113"/>
      <c r="Y26" s="113"/>
      <c r="Z26" s="113"/>
      <c r="AA26" s="113"/>
      <c r="AB26" s="113"/>
      <c r="AC26" s="113"/>
      <c r="AD26" s="113"/>
      <c r="AE26" s="113"/>
      <c r="AF26" s="113"/>
      <c r="AG26" s="113"/>
      <c r="AH26" s="113"/>
      <c r="AI26" s="113"/>
      <c r="AJ26" s="113"/>
      <c r="AK26" s="113"/>
      <c r="AL26" s="113"/>
      <c r="AM26" s="113"/>
      <c r="AN26" s="113"/>
      <c r="AO26" s="113"/>
      <c r="AP26" s="113"/>
      <c r="AQ26" s="113"/>
      <c r="AR26" s="113"/>
      <c r="AS26" s="113"/>
      <c r="AT26" s="113"/>
      <c r="AU26" s="113"/>
      <c r="AV26" s="113"/>
      <c r="AW26" s="113"/>
      <c r="AX26" s="113"/>
      <c r="AY26" s="113"/>
      <c r="AZ26" s="113"/>
      <c r="BA26" s="113"/>
      <c r="BB26" s="113"/>
      <c r="BC26" s="113"/>
      <c r="BD26" s="113"/>
      <c r="BE26" s="113"/>
      <c r="BF26" s="113"/>
    </row>
    <row r="27" spans="1:58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113"/>
      <c r="W27" s="113"/>
      <c r="X27" s="113"/>
      <c r="Y27" s="113"/>
      <c r="Z27" s="113"/>
      <c r="AA27" s="113"/>
      <c r="AB27" s="113"/>
      <c r="AC27" s="113"/>
      <c r="AD27" s="113"/>
      <c r="AE27" s="113"/>
      <c r="AF27" s="113"/>
      <c r="AG27" s="113"/>
      <c r="AH27" s="113"/>
      <c r="AI27" s="113"/>
      <c r="AJ27" s="113"/>
      <c r="AK27" s="113"/>
      <c r="AL27" s="113"/>
      <c r="AM27" s="113"/>
      <c r="AN27" s="113"/>
      <c r="AO27" s="113"/>
      <c r="AP27" s="113"/>
      <c r="AQ27" s="113"/>
      <c r="AR27" s="113"/>
      <c r="AS27" s="113"/>
      <c r="AT27" s="113"/>
      <c r="AU27" s="113"/>
      <c r="AV27" s="113"/>
      <c r="AW27" s="113"/>
      <c r="AX27" s="113"/>
      <c r="AY27" s="113"/>
      <c r="AZ27" s="113"/>
      <c r="BA27" s="113"/>
      <c r="BB27" s="113"/>
      <c r="BC27" s="113"/>
      <c r="BD27" s="113"/>
      <c r="BE27" s="113"/>
      <c r="BF27" s="113"/>
    </row>
    <row r="28" spans="1:58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113"/>
      <c r="W28" s="113"/>
      <c r="X28" s="113"/>
      <c r="Y28" s="113"/>
      <c r="Z28" s="113"/>
      <c r="AA28" s="113"/>
      <c r="AB28" s="113"/>
      <c r="AC28" s="113"/>
      <c r="AD28" s="113"/>
      <c r="AE28" s="113"/>
      <c r="AF28" s="113"/>
      <c r="AG28" s="113"/>
      <c r="AH28" s="113"/>
      <c r="AI28" s="113"/>
      <c r="AJ28" s="113"/>
      <c r="AK28" s="113"/>
      <c r="AL28" s="113"/>
      <c r="AM28" s="113"/>
      <c r="AN28" s="113"/>
      <c r="AO28" s="113"/>
      <c r="AP28" s="113"/>
      <c r="AQ28" s="113"/>
      <c r="AR28" s="113"/>
      <c r="AS28" s="113"/>
      <c r="AT28" s="113"/>
      <c r="AU28" s="113"/>
      <c r="AV28" s="113"/>
      <c r="AW28" s="113"/>
      <c r="AX28" s="113"/>
      <c r="AY28" s="113"/>
      <c r="AZ28" s="113"/>
      <c r="BA28" s="113"/>
      <c r="BB28" s="113"/>
      <c r="BC28" s="113"/>
      <c r="BD28" s="113"/>
      <c r="BE28" s="113"/>
      <c r="BF28" s="113"/>
    </row>
    <row r="29" spans="1:58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113"/>
      <c r="W29" s="113"/>
      <c r="X29" s="113"/>
      <c r="Y29" s="113"/>
      <c r="Z29" s="113"/>
      <c r="AA29" s="113"/>
      <c r="AB29" s="113"/>
      <c r="AC29" s="113"/>
      <c r="AD29" s="113"/>
      <c r="AE29" s="113"/>
      <c r="AF29" s="113"/>
      <c r="AG29" s="113"/>
      <c r="AH29" s="113"/>
      <c r="AI29" s="113"/>
      <c r="AJ29" s="113"/>
      <c r="AK29" s="113"/>
      <c r="AL29" s="113"/>
      <c r="AM29" s="113"/>
      <c r="AN29" s="113"/>
      <c r="AO29" s="113"/>
      <c r="AP29" s="113"/>
      <c r="AQ29" s="113"/>
      <c r="AR29" s="113"/>
      <c r="AS29" s="113"/>
      <c r="AT29" s="113"/>
      <c r="AU29" s="113"/>
      <c r="AV29" s="113"/>
      <c r="AW29" s="113"/>
      <c r="AX29" s="113"/>
      <c r="AY29" s="113"/>
      <c r="AZ29" s="113"/>
      <c r="BA29" s="113"/>
      <c r="BB29" s="113"/>
      <c r="BC29" s="113"/>
      <c r="BD29" s="113"/>
      <c r="BE29" s="113"/>
      <c r="BF29" s="113"/>
    </row>
    <row r="30" spans="1:58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  <c r="Q30" s="39"/>
      <c r="R30" s="39"/>
      <c r="S30" s="39"/>
      <c r="T30" s="39"/>
      <c r="U30" s="39"/>
      <c r="V30" s="113"/>
      <c r="W30" s="113"/>
      <c r="X30" s="113"/>
      <c r="Y30" s="113"/>
      <c r="Z30" s="113"/>
      <c r="AA30" s="113"/>
      <c r="AB30" s="113"/>
      <c r="AC30" s="113"/>
      <c r="AD30" s="113"/>
      <c r="AE30" s="113"/>
      <c r="AF30" s="113"/>
      <c r="AG30" s="113"/>
      <c r="AH30" s="113"/>
      <c r="AI30" s="113"/>
      <c r="AJ30" s="113"/>
      <c r="AK30" s="113"/>
      <c r="AL30" s="113"/>
      <c r="AM30" s="113"/>
      <c r="AN30" s="113"/>
      <c r="AO30" s="113"/>
      <c r="AP30" s="113"/>
      <c r="AQ30" s="113"/>
      <c r="AR30" s="113"/>
      <c r="AS30" s="113"/>
      <c r="AT30" s="113"/>
      <c r="AU30" s="113"/>
      <c r="AV30" s="113"/>
      <c r="AW30" s="113"/>
      <c r="AX30" s="113"/>
      <c r="AY30" s="113"/>
      <c r="AZ30" s="113"/>
      <c r="BA30" s="113"/>
      <c r="BB30" s="113"/>
      <c r="BC30" s="113"/>
      <c r="BD30" s="113"/>
      <c r="BE30" s="113"/>
      <c r="BF30" s="113"/>
    </row>
    <row r="31" spans="1:58">
      <c r="A31" s="39"/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O31" s="39"/>
      <c r="P31" s="39"/>
      <c r="Q31" s="39"/>
      <c r="R31" s="39"/>
      <c r="S31" s="39"/>
      <c r="T31" s="39"/>
      <c r="U31" s="39"/>
      <c r="V31" s="113"/>
      <c r="W31" s="113"/>
      <c r="X31" s="113"/>
      <c r="Y31" s="113"/>
      <c r="Z31" s="113"/>
      <c r="AA31" s="113"/>
      <c r="AB31" s="113"/>
      <c r="AC31" s="113"/>
      <c r="AD31" s="113"/>
      <c r="AE31" s="113"/>
      <c r="AF31" s="113"/>
      <c r="AG31" s="113"/>
      <c r="AH31" s="113"/>
      <c r="AI31" s="113"/>
      <c r="AJ31" s="113"/>
      <c r="AK31" s="113"/>
      <c r="AL31" s="113"/>
      <c r="AM31" s="113"/>
      <c r="AN31" s="113"/>
      <c r="AO31" s="113"/>
      <c r="AP31" s="113"/>
      <c r="AQ31" s="113"/>
      <c r="AR31" s="113"/>
      <c r="AS31" s="113"/>
      <c r="AT31" s="113"/>
      <c r="AU31" s="113"/>
      <c r="AV31" s="113"/>
      <c r="AW31" s="113"/>
      <c r="AX31" s="113"/>
      <c r="AY31" s="113"/>
      <c r="AZ31" s="113"/>
      <c r="BA31" s="113"/>
      <c r="BB31" s="113"/>
      <c r="BC31" s="113"/>
      <c r="BD31" s="113"/>
      <c r="BE31" s="113"/>
      <c r="BF31" s="113"/>
    </row>
    <row r="32" spans="1:58">
      <c r="A32" s="39"/>
      <c r="B32" s="39"/>
      <c r="C32" s="39"/>
      <c r="D32" s="39"/>
      <c r="E32" s="39"/>
      <c r="F32" s="39"/>
      <c r="G32" s="39"/>
      <c r="H32" s="39"/>
      <c r="I32" s="39"/>
      <c r="J32" s="39"/>
      <c r="K32" s="39"/>
      <c r="L32" s="39"/>
      <c r="M32" s="39"/>
      <c r="N32" s="39"/>
      <c r="O32" s="39"/>
      <c r="P32" s="39"/>
      <c r="Q32" s="39"/>
      <c r="R32" s="39"/>
      <c r="S32" s="39"/>
      <c r="T32" s="39"/>
      <c r="U32" s="39"/>
      <c r="V32" s="113"/>
      <c r="W32" s="113"/>
      <c r="X32" s="113"/>
      <c r="Y32" s="113"/>
      <c r="Z32" s="113"/>
      <c r="AA32" s="113"/>
      <c r="AB32" s="113"/>
      <c r="AC32" s="113"/>
      <c r="AD32" s="113"/>
      <c r="AE32" s="113"/>
      <c r="AF32" s="113"/>
      <c r="AG32" s="113"/>
      <c r="AH32" s="113"/>
      <c r="AI32" s="113"/>
      <c r="AJ32" s="113"/>
      <c r="AK32" s="113"/>
      <c r="AL32" s="113"/>
      <c r="AM32" s="113"/>
      <c r="AN32" s="113"/>
      <c r="AO32" s="113"/>
      <c r="AP32" s="113"/>
      <c r="AQ32" s="113"/>
      <c r="AR32" s="113"/>
      <c r="AS32" s="113"/>
      <c r="AT32" s="113"/>
      <c r="AU32" s="113"/>
      <c r="AV32" s="113"/>
      <c r="AW32" s="113"/>
      <c r="AX32" s="113"/>
      <c r="AY32" s="113"/>
      <c r="AZ32" s="113"/>
      <c r="BA32" s="113"/>
      <c r="BB32" s="113"/>
      <c r="BC32" s="113"/>
      <c r="BD32" s="113"/>
      <c r="BE32" s="113"/>
      <c r="BF32" s="113"/>
    </row>
    <row r="33" spans="1:58">
      <c r="A33" s="39"/>
      <c r="B33" s="39"/>
      <c r="C33" s="39"/>
      <c r="D33" s="39"/>
      <c r="E33" s="39"/>
      <c r="F33" s="39"/>
      <c r="G33" s="39"/>
      <c r="H33" s="39"/>
      <c r="I33" s="39"/>
      <c r="J33" s="39"/>
      <c r="K33" s="39"/>
      <c r="L33" s="39"/>
      <c r="M33" s="39"/>
      <c r="N33" s="39"/>
      <c r="O33" s="39"/>
      <c r="P33" s="39"/>
      <c r="Q33" s="39"/>
      <c r="R33" s="39"/>
      <c r="S33" s="39"/>
      <c r="T33" s="39"/>
      <c r="U33" s="39"/>
      <c r="V33" s="113"/>
      <c r="W33" s="113"/>
      <c r="X33" s="113"/>
      <c r="Y33" s="113"/>
      <c r="Z33" s="113"/>
      <c r="AA33" s="113"/>
      <c r="AB33" s="113"/>
      <c r="AC33" s="113"/>
      <c r="AD33" s="113"/>
      <c r="AE33" s="113"/>
      <c r="AF33" s="113"/>
      <c r="AG33" s="113"/>
      <c r="AH33" s="113"/>
      <c r="AI33" s="113"/>
      <c r="AJ33" s="113"/>
      <c r="AK33" s="113"/>
      <c r="AL33" s="113"/>
      <c r="AM33" s="113"/>
      <c r="AN33" s="113"/>
      <c r="AO33" s="113"/>
      <c r="AP33" s="113"/>
      <c r="AQ33" s="113"/>
      <c r="AR33" s="113"/>
      <c r="AS33" s="113"/>
      <c r="AT33" s="113"/>
      <c r="AU33" s="113"/>
      <c r="AV33" s="113"/>
      <c r="AW33" s="113"/>
      <c r="AX33" s="113"/>
      <c r="AY33" s="113"/>
      <c r="AZ33" s="113"/>
      <c r="BA33" s="113"/>
      <c r="BB33" s="113"/>
      <c r="BC33" s="113"/>
      <c r="BD33" s="113"/>
      <c r="BE33" s="113"/>
      <c r="BF33" s="113"/>
    </row>
    <row r="34" spans="1:58">
      <c r="A34" s="39"/>
      <c r="B34" s="39"/>
      <c r="C34" s="39"/>
      <c r="D34" s="39"/>
      <c r="E34" s="39"/>
      <c r="F34" s="39"/>
      <c r="G34" s="39"/>
      <c r="H34" s="39"/>
      <c r="I34" s="39"/>
      <c r="J34" s="39"/>
      <c r="K34" s="39"/>
      <c r="L34" s="39"/>
      <c r="M34" s="39"/>
      <c r="N34" s="39"/>
      <c r="O34" s="39"/>
      <c r="P34" s="39"/>
      <c r="Q34" s="39"/>
      <c r="R34" s="39"/>
      <c r="S34" s="39"/>
      <c r="T34" s="39"/>
      <c r="U34" s="39"/>
      <c r="V34" s="113"/>
      <c r="W34" s="113"/>
      <c r="X34" s="113"/>
      <c r="Y34" s="113"/>
      <c r="Z34" s="113"/>
      <c r="AA34" s="113"/>
      <c r="AB34" s="113"/>
      <c r="AC34" s="113"/>
      <c r="AD34" s="113"/>
      <c r="AE34" s="113"/>
      <c r="AF34" s="113"/>
      <c r="AG34" s="113"/>
      <c r="AH34" s="113"/>
      <c r="AI34" s="113"/>
      <c r="AJ34" s="113"/>
      <c r="AK34" s="113"/>
      <c r="AL34" s="113"/>
      <c r="AM34" s="113"/>
      <c r="AN34" s="113"/>
      <c r="AO34" s="113"/>
      <c r="AP34" s="113"/>
      <c r="AQ34" s="113"/>
      <c r="AR34" s="113"/>
      <c r="AS34" s="113"/>
      <c r="AT34" s="113"/>
      <c r="AU34" s="113"/>
      <c r="AV34" s="113"/>
      <c r="AW34" s="113"/>
      <c r="AX34" s="113"/>
      <c r="AY34" s="113"/>
      <c r="AZ34" s="113"/>
      <c r="BA34" s="113"/>
      <c r="BB34" s="113"/>
      <c r="BC34" s="113"/>
      <c r="BD34" s="113"/>
      <c r="BE34" s="113"/>
      <c r="BF34" s="113"/>
    </row>
    <row r="35" spans="1:58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113"/>
      <c r="W35" s="113"/>
      <c r="X35" s="113"/>
      <c r="Y35" s="113"/>
      <c r="Z35" s="113"/>
      <c r="AA35" s="113"/>
      <c r="AB35" s="113"/>
      <c r="AC35" s="113"/>
      <c r="AD35" s="113"/>
      <c r="AE35" s="113"/>
      <c r="AF35" s="113"/>
      <c r="AG35" s="113"/>
      <c r="AH35" s="113"/>
      <c r="AI35" s="113"/>
      <c r="AJ35" s="113"/>
      <c r="AK35" s="113"/>
      <c r="AL35" s="113"/>
      <c r="AM35" s="113"/>
      <c r="AN35" s="113"/>
      <c r="AO35" s="113"/>
      <c r="AP35" s="113"/>
      <c r="AQ35" s="113"/>
      <c r="AR35" s="113"/>
      <c r="AS35" s="113"/>
      <c r="AT35" s="113"/>
      <c r="AU35" s="113"/>
      <c r="AV35" s="113"/>
      <c r="AW35" s="113"/>
      <c r="AX35" s="113"/>
      <c r="AY35" s="113"/>
      <c r="AZ35" s="113"/>
      <c r="BA35" s="113"/>
      <c r="BB35" s="113"/>
      <c r="BC35" s="113"/>
      <c r="BD35" s="113"/>
      <c r="BE35" s="113"/>
      <c r="BF35" s="113"/>
    </row>
    <row r="36" spans="1:58">
      <c r="A36" s="39"/>
      <c r="B36" s="39"/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13"/>
      <c r="W36" s="113"/>
      <c r="X36" s="113"/>
      <c r="Y36" s="113"/>
      <c r="Z36" s="113"/>
      <c r="AA36" s="113"/>
      <c r="AB36" s="113"/>
      <c r="AC36" s="113"/>
      <c r="AD36" s="113"/>
      <c r="AE36" s="113"/>
      <c r="AF36" s="113"/>
      <c r="AG36" s="113"/>
      <c r="AH36" s="113"/>
      <c r="AI36" s="113"/>
      <c r="AJ36" s="113"/>
      <c r="AK36" s="113"/>
      <c r="AL36" s="113"/>
      <c r="AM36" s="113"/>
      <c r="AN36" s="113"/>
      <c r="AO36" s="113"/>
      <c r="AP36" s="113"/>
      <c r="AQ36" s="113"/>
      <c r="AR36" s="113"/>
      <c r="AS36" s="113"/>
      <c r="AT36" s="113"/>
      <c r="AU36" s="113"/>
      <c r="AV36" s="113"/>
      <c r="AW36" s="113"/>
      <c r="AX36" s="113"/>
      <c r="AY36" s="113"/>
      <c r="AZ36" s="113"/>
      <c r="BA36" s="113"/>
      <c r="BB36" s="113"/>
      <c r="BC36" s="113"/>
      <c r="BD36" s="113"/>
      <c r="BE36" s="113"/>
      <c r="BF36" s="113"/>
    </row>
    <row r="37" spans="1:58">
      <c r="A37" s="39"/>
      <c r="B37" s="39"/>
      <c r="C37" s="39"/>
      <c r="D37" s="39"/>
      <c r="E37" s="39"/>
      <c r="F37" s="39"/>
      <c r="G37" s="39"/>
      <c r="H37" s="39"/>
      <c r="I37" s="39"/>
      <c r="J37" s="39"/>
      <c r="K37" s="39"/>
      <c r="L37" s="39"/>
      <c r="M37" s="39"/>
      <c r="N37" s="39"/>
      <c r="O37" s="39"/>
      <c r="P37" s="39"/>
      <c r="Q37" s="39"/>
      <c r="R37" s="39"/>
      <c r="S37" s="39"/>
      <c r="T37" s="39"/>
      <c r="U37" s="39"/>
      <c r="V37" s="113"/>
      <c r="W37" s="113"/>
      <c r="X37" s="113"/>
      <c r="Y37" s="113"/>
      <c r="Z37" s="113"/>
      <c r="AA37" s="113"/>
      <c r="AB37" s="113"/>
      <c r="AC37" s="113"/>
      <c r="AD37" s="113"/>
      <c r="AE37" s="113"/>
      <c r="AF37" s="113"/>
      <c r="AG37" s="113"/>
      <c r="AH37" s="113"/>
      <c r="AI37" s="113"/>
      <c r="AJ37" s="113"/>
      <c r="AK37" s="113"/>
      <c r="AL37" s="113"/>
      <c r="AM37" s="113"/>
      <c r="AN37" s="113"/>
      <c r="AO37" s="113"/>
      <c r="AP37" s="113"/>
      <c r="AQ37" s="113"/>
      <c r="AR37" s="113"/>
      <c r="AS37" s="113"/>
      <c r="AT37" s="113"/>
      <c r="AU37" s="113"/>
      <c r="AV37" s="113"/>
      <c r="AW37" s="113"/>
      <c r="AX37" s="113"/>
      <c r="AY37" s="113"/>
      <c r="AZ37" s="113"/>
      <c r="BA37" s="113"/>
      <c r="BB37" s="113"/>
      <c r="BC37" s="113"/>
      <c r="BD37" s="113"/>
      <c r="BE37" s="113"/>
      <c r="BF37" s="113"/>
    </row>
    <row r="38" spans="1:58">
      <c r="A38" s="39"/>
      <c r="B38" s="39"/>
      <c r="C38" s="39"/>
      <c r="D38" s="39"/>
      <c r="E38" s="39"/>
      <c r="F38" s="39"/>
      <c r="G38" s="39"/>
      <c r="H38" s="39"/>
      <c r="I38" s="39"/>
      <c r="J38" s="39"/>
      <c r="K38" s="39"/>
      <c r="L38" s="39"/>
      <c r="M38" s="39"/>
      <c r="N38" s="39"/>
      <c r="O38" s="39"/>
      <c r="P38" s="39"/>
      <c r="Q38" s="39"/>
      <c r="R38" s="39"/>
      <c r="S38" s="39"/>
      <c r="T38" s="39"/>
      <c r="U38" s="39"/>
      <c r="V38" s="113"/>
      <c r="W38" s="113"/>
      <c r="X38" s="113"/>
      <c r="Y38" s="113"/>
      <c r="Z38" s="113"/>
      <c r="AA38" s="113"/>
      <c r="AB38" s="113"/>
      <c r="AC38" s="113"/>
      <c r="AD38" s="113"/>
      <c r="AE38" s="113"/>
      <c r="AF38" s="113"/>
      <c r="AG38" s="113"/>
      <c r="AH38" s="113"/>
      <c r="AI38" s="113"/>
      <c r="AJ38" s="113"/>
      <c r="AK38" s="113"/>
      <c r="AL38" s="113"/>
      <c r="AM38" s="113"/>
      <c r="AN38" s="113"/>
      <c r="AO38" s="113"/>
      <c r="AP38" s="113"/>
      <c r="AQ38" s="113"/>
      <c r="AR38" s="113"/>
      <c r="AS38" s="113"/>
      <c r="AT38" s="113"/>
      <c r="AU38" s="113"/>
      <c r="AV38" s="113"/>
      <c r="AW38" s="113"/>
      <c r="AX38" s="113"/>
      <c r="AY38" s="113"/>
      <c r="AZ38" s="113"/>
      <c r="BA38" s="113"/>
      <c r="BB38" s="113"/>
      <c r="BC38" s="113"/>
      <c r="BD38" s="113"/>
      <c r="BE38" s="113"/>
      <c r="BF38" s="113"/>
    </row>
    <row r="39" spans="1:58">
      <c r="A39" s="39"/>
      <c r="B39" s="39"/>
      <c r="C39" s="39"/>
      <c r="D39" s="39"/>
      <c r="E39" s="39"/>
      <c r="F39" s="39"/>
      <c r="G39" s="39"/>
      <c r="H39" s="39"/>
      <c r="I39" s="39"/>
      <c r="J39" s="39"/>
      <c r="K39" s="39"/>
      <c r="L39" s="39"/>
      <c r="M39" s="39"/>
      <c r="N39" s="39"/>
      <c r="O39" s="39"/>
      <c r="P39" s="39"/>
      <c r="Q39" s="39"/>
      <c r="R39" s="39"/>
      <c r="S39" s="39"/>
      <c r="T39" s="39"/>
      <c r="U39" s="39"/>
      <c r="V39" s="113"/>
      <c r="W39" s="113"/>
      <c r="X39" s="113"/>
      <c r="Y39" s="113"/>
      <c r="Z39" s="113"/>
      <c r="AA39" s="113"/>
      <c r="AB39" s="113"/>
      <c r="AC39" s="113"/>
      <c r="AD39" s="113"/>
      <c r="AE39" s="113"/>
      <c r="AF39" s="113"/>
      <c r="AG39" s="113"/>
      <c r="AH39" s="113"/>
      <c r="AI39" s="113"/>
      <c r="AJ39" s="113"/>
      <c r="AK39" s="113"/>
      <c r="AL39" s="113"/>
      <c r="AM39" s="113"/>
      <c r="AN39" s="113"/>
      <c r="AO39" s="113"/>
      <c r="AP39" s="113"/>
      <c r="AQ39" s="113"/>
      <c r="AR39" s="113"/>
      <c r="AS39" s="113"/>
      <c r="AT39" s="113"/>
      <c r="AU39" s="113"/>
      <c r="AV39" s="113"/>
      <c r="AW39" s="113"/>
      <c r="AX39" s="113"/>
      <c r="AY39" s="113"/>
      <c r="AZ39" s="113"/>
      <c r="BA39" s="113"/>
      <c r="BB39" s="113"/>
      <c r="BC39" s="113"/>
      <c r="BD39" s="113"/>
      <c r="BE39" s="113"/>
      <c r="BF39" s="113"/>
    </row>
    <row r="40" spans="1:58">
      <c r="A40" s="39"/>
      <c r="B40" s="39"/>
      <c r="C40" s="39"/>
      <c r="D40" s="39"/>
      <c r="E40" s="39"/>
      <c r="F40" s="39"/>
      <c r="G40" s="39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39"/>
      <c r="T40" s="39"/>
      <c r="U40" s="39"/>
      <c r="V40" s="113"/>
      <c r="W40" s="113"/>
      <c r="X40" s="113"/>
      <c r="Y40" s="113"/>
      <c r="Z40" s="113"/>
      <c r="AA40" s="113"/>
      <c r="AB40" s="113"/>
      <c r="AC40" s="113"/>
      <c r="AD40" s="113"/>
      <c r="AE40" s="113"/>
      <c r="AF40" s="113"/>
      <c r="AG40" s="113"/>
      <c r="AH40" s="113"/>
      <c r="AI40" s="113"/>
      <c r="AJ40" s="113"/>
      <c r="AK40" s="113"/>
      <c r="AL40" s="113"/>
      <c r="AM40" s="113"/>
      <c r="AN40" s="113"/>
      <c r="AO40" s="113"/>
      <c r="AP40" s="113"/>
      <c r="AQ40" s="113"/>
      <c r="AR40" s="113"/>
      <c r="AS40" s="113"/>
      <c r="AT40" s="113"/>
      <c r="AU40" s="113"/>
      <c r="AV40" s="113"/>
      <c r="AW40" s="113"/>
      <c r="AX40" s="113"/>
      <c r="AY40" s="113"/>
      <c r="AZ40" s="113"/>
      <c r="BA40" s="113"/>
      <c r="BB40" s="113"/>
      <c r="BC40" s="113"/>
      <c r="BD40" s="113"/>
      <c r="BE40" s="113"/>
      <c r="BF40" s="113"/>
    </row>
    <row r="41" spans="1:58">
      <c r="A41" s="39"/>
      <c r="B41" s="39"/>
      <c r="C41" s="39"/>
      <c r="D41" s="39"/>
      <c r="E41" s="39"/>
      <c r="F41" s="39"/>
      <c r="G41" s="39"/>
      <c r="H41" s="39"/>
      <c r="I41" s="39"/>
      <c r="J41" s="39"/>
      <c r="K41" s="39"/>
      <c r="L41" s="39"/>
      <c r="M41" s="39"/>
      <c r="N41" s="39"/>
      <c r="O41" s="39"/>
      <c r="P41" s="39"/>
      <c r="Q41" s="39"/>
      <c r="R41" s="39"/>
      <c r="S41" s="39"/>
      <c r="T41" s="39"/>
      <c r="U41" s="39"/>
      <c r="V41" s="113"/>
      <c r="W41" s="113"/>
      <c r="X41" s="113"/>
      <c r="Y41" s="113"/>
      <c r="Z41" s="113"/>
      <c r="AA41" s="113"/>
      <c r="AB41" s="113"/>
      <c r="AC41" s="113"/>
      <c r="AD41" s="113"/>
      <c r="AE41" s="113"/>
      <c r="AF41" s="113"/>
      <c r="AG41" s="113"/>
      <c r="AH41" s="113"/>
      <c r="AI41" s="113"/>
      <c r="AJ41" s="113"/>
      <c r="AK41" s="113"/>
      <c r="AL41" s="113"/>
      <c r="AM41" s="113"/>
      <c r="AN41" s="113"/>
      <c r="AO41" s="113"/>
      <c r="AP41" s="113"/>
      <c r="AQ41" s="113"/>
      <c r="AR41" s="113"/>
      <c r="AS41" s="113"/>
      <c r="AT41" s="113"/>
      <c r="AU41" s="113"/>
      <c r="AV41" s="113"/>
      <c r="AW41" s="113"/>
      <c r="AX41" s="113"/>
      <c r="AY41" s="113"/>
      <c r="AZ41" s="113"/>
      <c r="BA41" s="113"/>
      <c r="BB41" s="113"/>
      <c r="BC41" s="113"/>
      <c r="BD41" s="113"/>
      <c r="BE41" s="113"/>
      <c r="BF41" s="113"/>
    </row>
    <row r="42" spans="1:58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13"/>
      <c r="W42" s="113"/>
      <c r="X42" s="113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13"/>
      <c r="AM42" s="113"/>
      <c r="AN42" s="113"/>
      <c r="AO42" s="113"/>
      <c r="AP42" s="113"/>
      <c r="AQ42" s="113"/>
      <c r="AR42" s="113"/>
      <c r="AS42" s="113"/>
      <c r="AT42" s="113"/>
      <c r="AU42" s="113"/>
      <c r="AV42" s="113"/>
      <c r="AW42" s="113"/>
      <c r="AX42" s="113"/>
      <c r="AY42" s="113"/>
      <c r="AZ42" s="113"/>
      <c r="BA42" s="113"/>
      <c r="BB42" s="113"/>
      <c r="BC42" s="113"/>
      <c r="BD42" s="113"/>
      <c r="BE42" s="113"/>
      <c r="BF42" s="113"/>
    </row>
    <row r="43" spans="1:58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13"/>
      <c r="W43" s="113"/>
      <c r="X43" s="113"/>
      <c r="Y43" s="113"/>
      <c r="Z43" s="113"/>
      <c r="AA43" s="113"/>
      <c r="AB43" s="113"/>
      <c r="AC43" s="113"/>
      <c r="AD43" s="113"/>
      <c r="AE43" s="113"/>
      <c r="AF43" s="113"/>
      <c r="AG43" s="113"/>
      <c r="AH43" s="113"/>
      <c r="AI43" s="113"/>
      <c r="AJ43" s="113"/>
      <c r="AK43" s="113"/>
      <c r="AL43" s="113"/>
      <c r="AM43" s="113"/>
      <c r="AN43" s="113"/>
      <c r="AO43" s="113"/>
      <c r="AP43" s="113"/>
      <c r="AQ43" s="113"/>
      <c r="AR43" s="113"/>
      <c r="AS43" s="113"/>
      <c r="AT43" s="113"/>
      <c r="AU43" s="113"/>
      <c r="AV43" s="113"/>
      <c r="AW43" s="113"/>
      <c r="AX43" s="113"/>
      <c r="AY43" s="113"/>
      <c r="AZ43" s="113"/>
      <c r="BA43" s="113"/>
      <c r="BB43" s="113"/>
      <c r="BC43" s="113"/>
      <c r="BD43" s="113"/>
      <c r="BE43" s="113"/>
      <c r="BF43" s="113"/>
    </row>
    <row r="44" spans="1:58">
      <c r="A44" s="39"/>
      <c r="B44" s="39"/>
      <c r="C44" s="39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  <c r="Q44" s="39"/>
      <c r="R44" s="39"/>
      <c r="S44" s="39"/>
      <c r="T44" s="39"/>
      <c r="U44" s="39"/>
      <c r="V44" s="113"/>
      <c r="W44" s="113"/>
      <c r="X44" s="113"/>
      <c r="Y44" s="113"/>
      <c r="Z44" s="113"/>
      <c r="AA44" s="113"/>
      <c r="AB44" s="113"/>
      <c r="AC44" s="113"/>
      <c r="AD44" s="113"/>
      <c r="AE44" s="113"/>
      <c r="AF44" s="113"/>
      <c r="AG44" s="113"/>
      <c r="AH44" s="113"/>
      <c r="AI44" s="113"/>
      <c r="AJ44" s="113"/>
      <c r="AK44" s="113"/>
      <c r="AL44" s="113"/>
      <c r="AM44" s="113"/>
      <c r="AN44" s="113"/>
      <c r="AO44" s="113"/>
      <c r="AP44" s="113"/>
      <c r="AQ44" s="113"/>
      <c r="AR44" s="113"/>
      <c r="AS44" s="113"/>
      <c r="AT44" s="113"/>
      <c r="AU44" s="113"/>
      <c r="AV44" s="113"/>
      <c r="AW44" s="113"/>
      <c r="AX44" s="113"/>
      <c r="AY44" s="113"/>
      <c r="AZ44" s="113"/>
      <c r="BA44" s="113"/>
      <c r="BB44" s="113"/>
      <c r="BC44" s="113"/>
      <c r="BD44" s="113"/>
      <c r="BE44" s="113"/>
      <c r="BF44" s="113"/>
    </row>
    <row r="45" spans="1:58">
      <c r="A45" s="39"/>
      <c r="B45" s="39"/>
      <c r="C45" s="39"/>
      <c r="D45" s="39"/>
      <c r="E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  <c r="Q45" s="39"/>
      <c r="R45" s="39"/>
      <c r="S45" s="39"/>
      <c r="T45" s="39"/>
      <c r="U45" s="39"/>
      <c r="V45" s="113"/>
      <c r="W45" s="113"/>
      <c r="X45" s="113"/>
      <c r="Y45" s="113"/>
      <c r="Z45" s="113"/>
      <c r="AA45" s="113"/>
      <c r="AB45" s="113"/>
      <c r="AC45" s="113"/>
      <c r="AD45" s="113"/>
      <c r="AE45" s="113"/>
      <c r="AF45" s="113"/>
      <c r="AG45" s="113"/>
      <c r="AH45" s="113"/>
      <c r="AI45" s="113"/>
      <c r="AJ45" s="113"/>
      <c r="AK45" s="113"/>
      <c r="AL45" s="113"/>
      <c r="AM45" s="113"/>
      <c r="AN45" s="113"/>
      <c r="AO45" s="113"/>
      <c r="AP45" s="113"/>
      <c r="AQ45" s="113"/>
      <c r="AR45" s="113"/>
      <c r="AS45" s="113"/>
      <c r="AT45" s="113"/>
      <c r="AU45" s="113"/>
      <c r="AV45" s="113"/>
      <c r="AW45" s="113"/>
      <c r="AX45" s="113"/>
      <c r="AY45" s="113"/>
      <c r="AZ45" s="113"/>
      <c r="BA45" s="113"/>
      <c r="BB45" s="113"/>
      <c r="BC45" s="113"/>
      <c r="BD45" s="113"/>
      <c r="BE45" s="113"/>
      <c r="BF45" s="113"/>
    </row>
    <row r="46" spans="1:58">
      <c r="A46" s="39"/>
      <c r="B46" s="39"/>
      <c r="C46" s="39"/>
      <c r="D46" s="39"/>
      <c r="E46" s="39"/>
      <c r="F46" s="39"/>
      <c r="G46" s="39"/>
      <c r="H46" s="39"/>
      <c r="I46" s="39"/>
      <c r="J46" s="39"/>
      <c r="K46" s="39"/>
      <c r="L46" s="39"/>
      <c r="M46" s="39"/>
      <c r="N46" s="39"/>
      <c r="O46" s="39"/>
      <c r="P46" s="39"/>
      <c r="Q46" s="39"/>
      <c r="R46" s="39"/>
      <c r="S46" s="39"/>
      <c r="T46" s="39"/>
      <c r="U46" s="39"/>
      <c r="V46" s="113"/>
      <c r="W46" s="113"/>
      <c r="X46" s="113"/>
      <c r="Y46" s="113"/>
      <c r="Z46" s="113"/>
      <c r="AA46" s="113"/>
      <c r="AB46" s="113"/>
      <c r="AC46" s="113"/>
      <c r="AD46" s="113"/>
      <c r="AE46" s="113"/>
      <c r="AF46" s="113"/>
      <c r="AG46" s="113"/>
      <c r="AH46" s="113"/>
      <c r="AI46" s="113"/>
      <c r="AJ46" s="113"/>
      <c r="AK46" s="113"/>
      <c r="AL46" s="113"/>
      <c r="AM46" s="113"/>
      <c r="AN46" s="113"/>
      <c r="AO46" s="113"/>
      <c r="AP46" s="113"/>
      <c r="AQ46" s="113"/>
      <c r="AR46" s="113"/>
      <c r="AS46" s="113"/>
      <c r="AT46" s="113"/>
      <c r="AU46" s="113"/>
      <c r="AV46" s="113"/>
      <c r="AW46" s="113"/>
      <c r="AX46" s="113"/>
      <c r="AY46" s="113"/>
      <c r="AZ46" s="113"/>
      <c r="BA46" s="113"/>
      <c r="BB46" s="113"/>
      <c r="BC46" s="113"/>
      <c r="BD46" s="113"/>
      <c r="BE46" s="113"/>
      <c r="BF46" s="113"/>
    </row>
    <row r="47" spans="1:58">
      <c r="A47" s="39"/>
      <c r="B47" s="39"/>
      <c r="C47" s="39"/>
      <c r="D47" s="39"/>
      <c r="E47" s="39"/>
      <c r="F47" s="39"/>
      <c r="G47" s="39"/>
      <c r="H47" s="39"/>
      <c r="I47" s="39"/>
      <c r="J47" s="39"/>
      <c r="K47" s="39"/>
      <c r="L47" s="39"/>
      <c r="M47" s="39"/>
      <c r="N47" s="39"/>
      <c r="O47" s="39"/>
      <c r="P47" s="39"/>
      <c r="Q47" s="39"/>
      <c r="R47" s="39"/>
      <c r="S47" s="39"/>
      <c r="T47" s="39"/>
      <c r="U47" s="39"/>
      <c r="V47" s="113"/>
      <c r="W47" s="113"/>
      <c r="X47" s="113"/>
      <c r="Y47" s="113"/>
      <c r="Z47" s="113"/>
      <c r="AA47" s="113"/>
      <c r="AB47" s="113"/>
      <c r="AC47" s="113"/>
      <c r="AD47" s="113"/>
      <c r="AE47" s="113"/>
      <c r="AF47" s="113"/>
      <c r="AG47" s="113"/>
      <c r="AH47" s="113"/>
      <c r="AI47" s="113"/>
      <c r="AJ47" s="113"/>
      <c r="AK47" s="113"/>
      <c r="AL47" s="113"/>
      <c r="AM47" s="113"/>
      <c r="AN47" s="113"/>
      <c r="AO47" s="113"/>
      <c r="AP47" s="113"/>
      <c r="AQ47" s="113"/>
      <c r="AR47" s="113"/>
      <c r="AS47" s="113"/>
      <c r="AT47" s="113"/>
      <c r="AU47" s="113"/>
      <c r="AV47" s="113"/>
      <c r="AW47" s="113"/>
      <c r="AX47" s="113"/>
      <c r="AY47" s="113"/>
      <c r="AZ47" s="113"/>
      <c r="BA47" s="113"/>
      <c r="BB47" s="113"/>
      <c r="BC47" s="113"/>
      <c r="BD47" s="113"/>
      <c r="BE47" s="113"/>
      <c r="BF47" s="113"/>
    </row>
    <row r="48" spans="1:58">
      <c r="A48" s="39"/>
      <c r="B48" s="39"/>
      <c r="C48" s="39"/>
      <c r="D48" s="39"/>
      <c r="E48" s="39"/>
      <c r="F48" s="39"/>
      <c r="G48" s="39"/>
      <c r="H48" s="39"/>
      <c r="I48" s="39"/>
      <c r="J48" s="39"/>
      <c r="K48" s="39"/>
      <c r="L48" s="39"/>
      <c r="M48" s="39"/>
      <c r="N48" s="39"/>
      <c r="O48" s="39"/>
      <c r="P48" s="39"/>
      <c r="Q48" s="39"/>
      <c r="R48" s="39"/>
      <c r="S48" s="39"/>
      <c r="T48" s="39"/>
      <c r="U48" s="39"/>
      <c r="V48" s="113"/>
      <c r="W48" s="113"/>
      <c r="X48" s="113"/>
      <c r="Y48" s="113"/>
      <c r="Z48" s="113"/>
      <c r="AA48" s="113"/>
      <c r="AB48" s="113"/>
      <c r="AC48" s="113"/>
      <c r="AD48" s="113"/>
      <c r="AE48" s="113"/>
      <c r="AF48" s="113"/>
      <c r="AG48" s="113"/>
      <c r="AH48" s="113"/>
      <c r="AI48" s="113"/>
      <c r="AJ48" s="113"/>
      <c r="AK48" s="113"/>
      <c r="AL48" s="113"/>
      <c r="AM48" s="113"/>
      <c r="AN48" s="113"/>
      <c r="AO48" s="113"/>
      <c r="AP48" s="113"/>
      <c r="AQ48" s="113"/>
      <c r="AR48" s="113"/>
      <c r="AS48" s="113"/>
      <c r="AT48" s="113"/>
      <c r="AU48" s="113"/>
      <c r="AV48" s="113"/>
      <c r="AW48" s="113"/>
      <c r="AX48" s="113"/>
      <c r="AY48" s="113"/>
      <c r="AZ48" s="113"/>
      <c r="BA48" s="113"/>
      <c r="BB48" s="113"/>
      <c r="BC48" s="113"/>
      <c r="BD48" s="113"/>
      <c r="BE48" s="113"/>
      <c r="BF48" s="113"/>
    </row>
    <row r="49" spans="1:58">
      <c r="A49" s="39"/>
      <c r="B49" s="39"/>
      <c r="C49" s="39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  <c r="Q49" s="39"/>
      <c r="R49" s="39"/>
      <c r="S49" s="39"/>
      <c r="T49" s="39"/>
      <c r="U49" s="39"/>
      <c r="V49" s="113"/>
      <c r="W49" s="113"/>
      <c r="X49" s="113"/>
      <c r="Y49" s="113"/>
      <c r="Z49" s="113"/>
      <c r="AA49" s="113"/>
      <c r="AB49" s="113"/>
      <c r="AC49" s="113"/>
      <c r="AD49" s="113"/>
      <c r="AE49" s="113"/>
      <c r="AF49" s="113"/>
      <c r="AG49" s="113"/>
      <c r="AH49" s="113"/>
      <c r="AI49" s="113"/>
      <c r="AJ49" s="113"/>
      <c r="AK49" s="113"/>
      <c r="AL49" s="113"/>
      <c r="AM49" s="113"/>
      <c r="AN49" s="113"/>
      <c r="AO49" s="113"/>
      <c r="AP49" s="113"/>
      <c r="AQ49" s="113"/>
      <c r="AR49" s="113"/>
      <c r="AS49" s="113"/>
      <c r="AT49" s="113"/>
      <c r="AU49" s="113"/>
      <c r="AV49" s="113"/>
      <c r="AW49" s="113"/>
      <c r="AX49" s="113"/>
      <c r="AY49" s="113"/>
      <c r="AZ49" s="113"/>
      <c r="BA49" s="113"/>
      <c r="BB49" s="113"/>
      <c r="BC49" s="113"/>
      <c r="BD49" s="113"/>
      <c r="BE49" s="113"/>
      <c r="BF49" s="113"/>
    </row>
    <row r="50" spans="1:58">
      <c r="A50" s="39"/>
      <c r="B50" s="39"/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  <c r="Q50" s="39"/>
      <c r="R50" s="39"/>
      <c r="S50" s="39"/>
      <c r="T50" s="39"/>
      <c r="U50" s="39"/>
      <c r="V50" s="113"/>
      <c r="W50" s="113"/>
      <c r="X50" s="113"/>
      <c r="Y50" s="113"/>
      <c r="Z50" s="113"/>
      <c r="AA50" s="113"/>
      <c r="AB50" s="113"/>
      <c r="AC50" s="113"/>
      <c r="AD50" s="113"/>
      <c r="AE50" s="113"/>
      <c r="AF50" s="113"/>
      <c r="AG50" s="113"/>
      <c r="AH50" s="113"/>
      <c r="AI50" s="113"/>
      <c r="AJ50" s="113"/>
      <c r="AK50" s="113"/>
      <c r="AL50" s="113"/>
      <c r="AM50" s="113"/>
      <c r="AN50" s="113"/>
      <c r="AO50" s="113"/>
      <c r="AP50" s="113"/>
      <c r="AQ50" s="113"/>
      <c r="AR50" s="113"/>
      <c r="AS50" s="113"/>
      <c r="AT50" s="113"/>
      <c r="AU50" s="113"/>
      <c r="AV50" s="113"/>
      <c r="AW50" s="113"/>
      <c r="AX50" s="113"/>
      <c r="AY50" s="113"/>
      <c r="AZ50" s="113"/>
      <c r="BA50" s="113"/>
      <c r="BB50" s="113"/>
      <c r="BC50" s="113"/>
      <c r="BD50" s="113"/>
      <c r="BE50" s="113"/>
      <c r="BF50" s="113"/>
    </row>
    <row r="51" spans="1:58">
      <c r="A51" s="39"/>
      <c r="B51" s="39"/>
      <c r="C51" s="39"/>
      <c r="D51" s="39"/>
      <c r="E51" s="39"/>
      <c r="F51" s="39"/>
      <c r="G51" s="39"/>
      <c r="H51" s="39"/>
      <c r="I51" s="39"/>
      <c r="J51" s="39"/>
      <c r="K51" s="39"/>
      <c r="L51" s="39"/>
      <c r="M51" s="39"/>
      <c r="N51" s="39"/>
      <c r="O51" s="39"/>
      <c r="P51" s="39"/>
      <c r="Q51" s="39"/>
      <c r="R51" s="39"/>
      <c r="S51" s="39"/>
      <c r="T51" s="39"/>
      <c r="U51" s="39"/>
      <c r="V51" s="113"/>
      <c r="W51" s="113"/>
      <c r="X51" s="113"/>
      <c r="Y51" s="113"/>
      <c r="Z51" s="113"/>
      <c r="AA51" s="113"/>
      <c r="AB51" s="113"/>
      <c r="AC51" s="113"/>
      <c r="AD51" s="113"/>
      <c r="AE51" s="113"/>
      <c r="AF51" s="113"/>
      <c r="AG51" s="113"/>
      <c r="AH51" s="113"/>
      <c r="AI51" s="113"/>
      <c r="AJ51" s="113"/>
      <c r="AK51" s="113"/>
      <c r="AL51" s="113"/>
      <c r="AM51" s="113"/>
      <c r="AN51" s="113"/>
      <c r="AO51" s="113"/>
      <c r="AP51" s="113"/>
      <c r="AQ51" s="113"/>
      <c r="AR51" s="113"/>
      <c r="AS51" s="113"/>
      <c r="AT51" s="113"/>
      <c r="AU51" s="113"/>
      <c r="AV51" s="113"/>
      <c r="AW51" s="113"/>
      <c r="AX51" s="113"/>
      <c r="AY51" s="113"/>
      <c r="AZ51" s="113"/>
      <c r="BA51" s="113"/>
      <c r="BB51" s="113"/>
      <c r="BC51" s="113"/>
      <c r="BD51" s="113"/>
      <c r="BE51" s="113"/>
      <c r="BF51" s="113"/>
    </row>
    <row r="52" spans="1:58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113"/>
      <c r="W52" s="113"/>
      <c r="X52" s="113"/>
      <c r="Y52" s="113"/>
      <c r="Z52" s="113"/>
      <c r="AA52" s="113"/>
      <c r="AB52" s="113"/>
      <c r="AC52" s="113"/>
      <c r="AD52" s="113"/>
      <c r="AE52" s="113"/>
      <c r="AF52" s="113"/>
      <c r="AG52" s="113"/>
      <c r="AH52" s="113"/>
      <c r="AI52" s="113"/>
      <c r="AJ52" s="113"/>
      <c r="AK52" s="113"/>
      <c r="AL52" s="113"/>
      <c r="AM52" s="113"/>
      <c r="AN52" s="113"/>
      <c r="AO52" s="113"/>
      <c r="AP52" s="113"/>
      <c r="AQ52" s="113"/>
      <c r="AR52" s="113"/>
      <c r="AS52" s="113"/>
      <c r="AT52" s="113"/>
      <c r="AU52" s="113"/>
      <c r="AV52" s="113"/>
      <c r="AW52" s="113"/>
      <c r="AX52" s="113"/>
      <c r="AY52" s="113"/>
      <c r="AZ52" s="113"/>
      <c r="BA52" s="113"/>
      <c r="BB52" s="113"/>
      <c r="BC52" s="113"/>
      <c r="BD52" s="113"/>
      <c r="BE52" s="113"/>
      <c r="BF52" s="113"/>
    </row>
    <row r="53" spans="1:58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113"/>
      <c r="W53" s="113"/>
      <c r="X53" s="113"/>
      <c r="Y53" s="113"/>
      <c r="Z53" s="113"/>
      <c r="AA53" s="113"/>
      <c r="AB53" s="113"/>
      <c r="AC53" s="113"/>
      <c r="AD53" s="113"/>
      <c r="AE53" s="113"/>
      <c r="AF53" s="113"/>
      <c r="AG53" s="113"/>
      <c r="AH53" s="113"/>
      <c r="AI53" s="113"/>
      <c r="AJ53" s="113"/>
      <c r="AK53" s="113"/>
      <c r="AL53" s="113"/>
      <c r="AM53" s="113"/>
      <c r="AN53" s="113"/>
      <c r="AO53" s="113"/>
      <c r="AP53" s="113"/>
      <c r="AQ53" s="113"/>
      <c r="AR53" s="113"/>
      <c r="AS53" s="113"/>
      <c r="AT53" s="113"/>
      <c r="AU53" s="113"/>
      <c r="AV53" s="113"/>
      <c r="AW53" s="113"/>
      <c r="AX53" s="113"/>
      <c r="AY53" s="113"/>
      <c r="AZ53" s="113"/>
      <c r="BA53" s="113"/>
      <c r="BB53" s="113"/>
      <c r="BC53" s="113"/>
      <c r="BD53" s="113"/>
      <c r="BE53" s="113"/>
      <c r="BF53" s="113"/>
    </row>
    <row r="54" spans="1:58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113"/>
      <c r="W54" s="113"/>
      <c r="X54" s="113"/>
      <c r="Y54" s="113"/>
      <c r="Z54" s="113"/>
      <c r="AA54" s="113"/>
      <c r="AB54" s="113"/>
      <c r="AC54" s="113"/>
      <c r="AD54" s="113"/>
      <c r="AE54" s="113"/>
      <c r="AF54" s="113"/>
      <c r="AG54" s="113"/>
      <c r="AH54" s="113"/>
      <c r="AI54" s="113"/>
      <c r="AJ54" s="113"/>
      <c r="AK54" s="113"/>
      <c r="AL54" s="113"/>
      <c r="AM54" s="113"/>
      <c r="AN54" s="113"/>
      <c r="AO54" s="113"/>
      <c r="AP54" s="113"/>
      <c r="AQ54" s="113"/>
      <c r="AR54" s="113"/>
      <c r="AS54" s="113"/>
      <c r="AT54" s="113"/>
      <c r="AU54" s="113"/>
      <c r="AV54" s="113"/>
      <c r="AW54" s="113"/>
      <c r="AX54" s="113"/>
      <c r="AY54" s="113"/>
      <c r="AZ54" s="113"/>
      <c r="BA54" s="113"/>
      <c r="BB54" s="113"/>
      <c r="BC54" s="113"/>
      <c r="BD54" s="113"/>
      <c r="BE54" s="113"/>
      <c r="BF54" s="113"/>
    </row>
    <row r="55" spans="1:58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113"/>
      <c r="W55" s="113"/>
      <c r="X55" s="113"/>
      <c r="Y55" s="113"/>
      <c r="Z55" s="113"/>
      <c r="AA55" s="113"/>
      <c r="AB55" s="113"/>
      <c r="AC55" s="113"/>
      <c r="AD55" s="113"/>
      <c r="AE55" s="113"/>
      <c r="AF55" s="113"/>
      <c r="AG55" s="113"/>
      <c r="AH55" s="113"/>
      <c r="AI55" s="113"/>
      <c r="AJ55" s="113"/>
      <c r="AK55" s="113"/>
      <c r="AL55" s="113"/>
      <c r="AM55" s="113"/>
      <c r="AN55" s="113"/>
      <c r="AO55" s="113"/>
      <c r="AP55" s="113"/>
      <c r="AQ55" s="113"/>
      <c r="AR55" s="113"/>
      <c r="AS55" s="113"/>
      <c r="AT55" s="113"/>
      <c r="AU55" s="113"/>
      <c r="AV55" s="113"/>
      <c r="AW55" s="113"/>
      <c r="AX55" s="113"/>
      <c r="AY55" s="113"/>
      <c r="AZ55" s="113"/>
      <c r="BA55" s="113"/>
      <c r="BB55" s="113"/>
      <c r="BC55" s="113"/>
      <c r="BD55" s="113"/>
      <c r="BE55" s="113"/>
      <c r="BF55" s="113"/>
    </row>
    <row r="56" spans="1:58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113"/>
      <c r="W56" s="113"/>
      <c r="X56" s="113"/>
      <c r="Y56" s="113"/>
      <c r="Z56" s="113"/>
      <c r="AA56" s="113"/>
      <c r="AB56" s="113"/>
      <c r="AC56" s="113"/>
      <c r="AD56" s="113"/>
      <c r="AE56" s="113"/>
      <c r="AF56" s="113"/>
      <c r="AG56" s="113"/>
      <c r="AH56" s="113"/>
      <c r="AI56" s="113"/>
      <c r="AJ56" s="113"/>
      <c r="AK56" s="113"/>
      <c r="AL56" s="113"/>
      <c r="AM56" s="113"/>
      <c r="AN56" s="113"/>
      <c r="AO56" s="113"/>
      <c r="AP56" s="113"/>
      <c r="AQ56" s="113"/>
      <c r="AR56" s="113"/>
      <c r="AS56" s="113"/>
      <c r="AT56" s="113"/>
      <c r="AU56" s="113"/>
      <c r="AV56" s="113"/>
      <c r="AW56" s="113"/>
      <c r="AX56" s="113"/>
      <c r="AY56" s="113"/>
      <c r="AZ56" s="113"/>
      <c r="BA56" s="113"/>
      <c r="BB56" s="113"/>
      <c r="BC56" s="113"/>
      <c r="BD56" s="113"/>
      <c r="BE56" s="113"/>
      <c r="BF56" s="113"/>
    </row>
    <row r="57" spans="1:58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113"/>
      <c r="W57" s="113"/>
      <c r="X57" s="113"/>
      <c r="Y57" s="113"/>
      <c r="Z57" s="113"/>
      <c r="AA57" s="113"/>
      <c r="AB57" s="113"/>
      <c r="AC57" s="113"/>
      <c r="AD57" s="113"/>
      <c r="AE57" s="113"/>
      <c r="AF57" s="113"/>
      <c r="AG57" s="113"/>
      <c r="AH57" s="113"/>
      <c r="AI57" s="113"/>
      <c r="AJ57" s="113"/>
      <c r="AK57" s="113"/>
      <c r="AL57" s="113"/>
      <c r="AM57" s="113"/>
      <c r="AN57" s="113"/>
      <c r="AO57" s="113"/>
      <c r="AP57" s="113"/>
      <c r="AQ57" s="113"/>
      <c r="AR57" s="113"/>
      <c r="AS57" s="113"/>
      <c r="AT57" s="113"/>
      <c r="AU57" s="113"/>
      <c r="AV57" s="113"/>
      <c r="AW57" s="113"/>
      <c r="AX57" s="113"/>
      <c r="AY57" s="113"/>
      <c r="AZ57" s="113"/>
      <c r="BA57" s="113"/>
      <c r="BB57" s="113"/>
      <c r="BC57" s="113"/>
      <c r="BD57" s="113"/>
      <c r="BE57" s="113"/>
      <c r="BF57" s="113"/>
    </row>
    <row r="58" spans="1:58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113"/>
      <c r="W58" s="113"/>
      <c r="X58" s="113"/>
      <c r="Y58" s="113"/>
      <c r="Z58" s="113"/>
      <c r="AA58" s="113"/>
      <c r="AB58" s="113"/>
      <c r="AC58" s="113"/>
      <c r="AD58" s="113"/>
      <c r="AE58" s="113"/>
      <c r="AF58" s="113"/>
      <c r="AG58" s="113"/>
      <c r="AH58" s="113"/>
      <c r="AI58" s="113"/>
      <c r="AJ58" s="113"/>
      <c r="AK58" s="113"/>
      <c r="AL58" s="113"/>
      <c r="AM58" s="113"/>
      <c r="AN58" s="113"/>
      <c r="AO58" s="113"/>
      <c r="AP58" s="113"/>
      <c r="AQ58" s="113"/>
      <c r="AR58" s="113"/>
      <c r="AS58" s="113"/>
      <c r="AT58" s="113"/>
      <c r="AU58" s="113"/>
      <c r="AV58" s="113"/>
      <c r="AW58" s="113"/>
      <c r="AX58" s="113"/>
      <c r="AY58" s="113"/>
      <c r="AZ58" s="113"/>
      <c r="BA58" s="113"/>
      <c r="BB58" s="113"/>
      <c r="BC58" s="113"/>
      <c r="BD58" s="113"/>
      <c r="BE58" s="113"/>
      <c r="BF58" s="113"/>
    </row>
    <row r="59" spans="1:58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113"/>
      <c r="W59" s="113"/>
      <c r="X59" s="113"/>
      <c r="Y59" s="113"/>
      <c r="Z59" s="113"/>
      <c r="AA59" s="113"/>
      <c r="AB59" s="113"/>
      <c r="AC59" s="113"/>
      <c r="AD59" s="113"/>
      <c r="AE59" s="113"/>
      <c r="AF59" s="113"/>
      <c r="AG59" s="113"/>
      <c r="AH59" s="113"/>
      <c r="AI59" s="113"/>
      <c r="AJ59" s="113"/>
      <c r="AK59" s="113"/>
      <c r="AL59" s="113"/>
      <c r="AM59" s="113"/>
      <c r="AN59" s="113"/>
      <c r="AO59" s="113"/>
      <c r="AP59" s="113"/>
      <c r="AQ59" s="113"/>
      <c r="AR59" s="113"/>
      <c r="AS59" s="113"/>
      <c r="AT59" s="113"/>
      <c r="AU59" s="113"/>
      <c r="AV59" s="113"/>
      <c r="AW59" s="113"/>
      <c r="AX59" s="113"/>
      <c r="AY59" s="113"/>
      <c r="AZ59" s="113"/>
      <c r="BA59" s="113"/>
      <c r="BB59" s="113"/>
      <c r="BC59" s="113"/>
      <c r="BD59" s="113"/>
      <c r="BE59" s="113"/>
      <c r="BF59" s="113"/>
    </row>
    <row r="60" spans="1:58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113"/>
      <c r="W60" s="113"/>
      <c r="X60" s="113"/>
      <c r="Y60" s="113"/>
      <c r="Z60" s="113"/>
      <c r="AA60" s="113"/>
      <c r="AB60" s="113"/>
      <c r="AC60" s="113"/>
      <c r="AD60" s="113"/>
      <c r="AE60" s="113"/>
      <c r="AF60" s="113"/>
      <c r="AG60" s="113"/>
      <c r="AH60" s="113"/>
      <c r="AI60" s="113"/>
      <c r="AJ60" s="113"/>
      <c r="AK60" s="113"/>
      <c r="AL60" s="113"/>
      <c r="AM60" s="113"/>
      <c r="AN60" s="113"/>
      <c r="AO60" s="113"/>
      <c r="AP60" s="113"/>
      <c r="AQ60" s="113"/>
      <c r="AR60" s="113"/>
      <c r="AS60" s="113"/>
      <c r="AT60" s="113"/>
      <c r="AU60" s="113"/>
      <c r="AV60" s="113"/>
      <c r="AW60" s="113"/>
      <c r="AX60" s="113"/>
      <c r="AY60" s="113"/>
      <c r="AZ60" s="113"/>
      <c r="BA60" s="113"/>
      <c r="BB60" s="113"/>
      <c r="BC60" s="113"/>
      <c r="BD60" s="113"/>
      <c r="BE60" s="113"/>
      <c r="BF60" s="113"/>
    </row>
    <row r="61" spans="1:58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113"/>
      <c r="W61" s="113"/>
      <c r="X61" s="113"/>
      <c r="Y61" s="113"/>
      <c r="Z61" s="113"/>
      <c r="AA61" s="113"/>
      <c r="AB61" s="113"/>
      <c r="AC61" s="113"/>
      <c r="AD61" s="113"/>
      <c r="AE61" s="113"/>
      <c r="AF61" s="113"/>
      <c r="AG61" s="113"/>
      <c r="AH61" s="113"/>
      <c r="AI61" s="113"/>
      <c r="AJ61" s="113"/>
      <c r="AK61" s="113"/>
      <c r="AL61" s="113"/>
      <c r="AM61" s="113"/>
      <c r="AN61" s="113"/>
      <c r="AO61" s="113"/>
      <c r="AP61" s="113"/>
      <c r="AQ61" s="113"/>
      <c r="AR61" s="113"/>
      <c r="AS61" s="113"/>
      <c r="AT61" s="113"/>
      <c r="AU61" s="113"/>
      <c r="AV61" s="113"/>
      <c r="AW61" s="113"/>
      <c r="AX61" s="113"/>
      <c r="AY61" s="113"/>
      <c r="AZ61" s="113"/>
      <c r="BA61" s="113"/>
      <c r="BB61" s="113"/>
      <c r="BC61" s="113"/>
      <c r="BD61" s="113"/>
      <c r="BE61" s="113"/>
      <c r="BF61" s="113"/>
    </row>
    <row r="62" spans="1:58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113"/>
      <c r="W62" s="113"/>
      <c r="X62" s="113"/>
      <c r="Y62" s="113"/>
      <c r="Z62" s="113"/>
      <c r="AA62" s="113"/>
      <c r="AB62" s="113"/>
      <c r="AC62" s="113"/>
      <c r="AD62" s="113"/>
      <c r="AE62" s="113"/>
      <c r="AF62" s="113"/>
      <c r="AG62" s="113"/>
      <c r="AH62" s="113"/>
      <c r="AI62" s="113"/>
      <c r="AJ62" s="113"/>
      <c r="AK62" s="113"/>
      <c r="AL62" s="113"/>
      <c r="AM62" s="113"/>
      <c r="AN62" s="113"/>
      <c r="AO62" s="113"/>
      <c r="AP62" s="113"/>
      <c r="AQ62" s="113"/>
      <c r="AR62" s="113"/>
      <c r="AS62" s="113"/>
      <c r="AT62" s="113"/>
      <c r="AU62" s="113"/>
      <c r="AV62" s="113"/>
      <c r="AW62" s="113"/>
      <c r="AX62" s="113"/>
      <c r="AY62" s="113"/>
      <c r="AZ62" s="113"/>
      <c r="BA62" s="113"/>
      <c r="BB62" s="113"/>
      <c r="BC62" s="113"/>
      <c r="BD62" s="113"/>
      <c r="BE62" s="113"/>
      <c r="BF62" s="113"/>
    </row>
    <row r="63" spans="1:58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113"/>
      <c r="W63" s="113"/>
      <c r="X63" s="113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13"/>
      <c r="AM63" s="113"/>
      <c r="AN63" s="113"/>
      <c r="AO63" s="113"/>
      <c r="AP63" s="113"/>
      <c r="AQ63" s="113"/>
      <c r="AR63" s="113"/>
      <c r="AS63" s="113"/>
      <c r="AT63" s="113"/>
      <c r="AU63" s="113"/>
      <c r="AV63" s="113"/>
      <c r="AW63" s="113"/>
      <c r="AX63" s="113"/>
      <c r="AY63" s="113"/>
      <c r="AZ63" s="113"/>
      <c r="BA63" s="113"/>
      <c r="BB63" s="113"/>
      <c r="BC63" s="113"/>
      <c r="BD63" s="113"/>
      <c r="BE63" s="113"/>
      <c r="BF63" s="113"/>
    </row>
    <row r="64" spans="1:58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113"/>
      <c r="W64" s="113"/>
      <c r="X64" s="113"/>
      <c r="Y64" s="113"/>
      <c r="Z64" s="113"/>
      <c r="AA64" s="113"/>
      <c r="AB64" s="113"/>
      <c r="AC64" s="113"/>
      <c r="AD64" s="113"/>
      <c r="AE64" s="113"/>
      <c r="AF64" s="113"/>
      <c r="AG64" s="113"/>
      <c r="AH64" s="113"/>
      <c r="AI64" s="113"/>
      <c r="AJ64" s="113"/>
      <c r="AK64" s="113"/>
      <c r="AL64" s="113"/>
      <c r="AM64" s="113"/>
      <c r="AN64" s="113"/>
      <c r="AO64" s="113"/>
      <c r="AP64" s="113"/>
      <c r="AQ64" s="113"/>
      <c r="AR64" s="113"/>
      <c r="AS64" s="113"/>
      <c r="AT64" s="113"/>
      <c r="AU64" s="113"/>
      <c r="AV64" s="113"/>
      <c r="AW64" s="113"/>
      <c r="AX64" s="113"/>
      <c r="AY64" s="113"/>
      <c r="AZ64" s="113"/>
      <c r="BA64" s="113"/>
      <c r="BB64" s="113"/>
      <c r="BC64" s="113"/>
      <c r="BD64" s="113"/>
      <c r="BE64" s="113"/>
      <c r="BF64" s="113"/>
    </row>
    <row r="65" spans="1:58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113"/>
      <c r="W65" s="113"/>
      <c r="X65" s="113"/>
      <c r="Y65" s="113"/>
      <c r="Z65" s="113"/>
      <c r="AA65" s="113"/>
      <c r="AB65" s="113"/>
      <c r="AC65" s="113"/>
      <c r="AD65" s="113"/>
      <c r="AE65" s="113"/>
      <c r="AF65" s="113"/>
      <c r="AG65" s="113"/>
      <c r="AH65" s="113"/>
      <c r="AI65" s="113"/>
      <c r="AJ65" s="113"/>
      <c r="AK65" s="113"/>
      <c r="AL65" s="113"/>
      <c r="AM65" s="113"/>
      <c r="AN65" s="113"/>
      <c r="AO65" s="113"/>
      <c r="AP65" s="113"/>
      <c r="AQ65" s="113"/>
      <c r="AR65" s="113"/>
      <c r="AS65" s="113"/>
      <c r="AT65" s="113"/>
      <c r="AU65" s="113"/>
      <c r="AV65" s="113"/>
      <c r="AW65" s="113"/>
      <c r="AX65" s="113"/>
      <c r="AY65" s="113"/>
      <c r="AZ65" s="113"/>
      <c r="BA65" s="113"/>
      <c r="BB65" s="113"/>
      <c r="BC65" s="113"/>
      <c r="BD65" s="113"/>
      <c r="BE65" s="113"/>
      <c r="BF65" s="113"/>
    </row>
    <row r="66" spans="1:58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113"/>
      <c r="W66" s="113"/>
      <c r="X66" s="113"/>
      <c r="Y66" s="113"/>
      <c r="Z66" s="113"/>
      <c r="AA66" s="113"/>
      <c r="AB66" s="113"/>
      <c r="AC66" s="113"/>
      <c r="AD66" s="113"/>
      <c r="AE66" s="113"/>
      <c r="AF66" s="113"/>
      <c r="AG66" s="113"/>
      <c r="AH66" s="113"/>
      <c r="AI66" s="113"/>
      <c r="AJ66" s="113"/>
      <c r="AK66" s="113"/>
      <c r="AL66" s="113"/>
      <c r="AM66" s="113"/>
      <c r="AN66" s="113"/>
      <c r="AO66" s="113"/>
      <c r="AP66" s="113"/>
      <c r="AQ66" s="113"/>
      <c r="AR66" s="113"/>
      <c r="AS66" s="113"/>
      <c r="AT66" s="113"/>
      <c r="AU66" s="113"/>
      <c r="AV66" s="113"/>
      <c r="AW66" s="113"/>
      <c r="AX66" s="113"/>
      <c r="AY66" s="113"/>
      <c r="AZ66" s="113"/>
      <c r="BA66" s="113"/>
      <c r="BB66" s="113"/>
      <c r="BC66" s="113"/>
      <c r="BD66" s="113"/>
      <c r="BE66" s="113"/>
      <c r="BF66" s="113"/>
    </row>
    <row r="67" spans="1:58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113"/>
      <c r="W67" s="113"/>
      <c r="X67" s="113"/>
      <c r="Y67" s="113"/>
      <c r="Z67" s="113"/>
      <c r="AA67" s="113"/>
      <c r="AB67" s="113"/>
      <c r="AC67" s="113"/>
      <c r="AD67" s="113"/>
      <c r="AE67" s="113"/>
      <c r="AF67" s="113"/>
      <c r="AG67" s="113"/>
      <c r="AH67" s="113"/>
      <c r="AI67" s="113"/>
      <c r="AJ67" s="113"/>
      <c r="AK67" s="113"/>
      <c r="AL67" s="113"/>
      <c r="AM67" s="113"/>
      <c r="AN67" s="113"/>
      <c r="AO67" s="113"/>
      <c r="AP67" s="113"/>
      <c r="AQ67" s="113"/>
      <c r="AR67" s="113"/>
      <c r="AS67" s="113"/>
      <c r="AT67" s="113"/>
      <c r="AU67" s="113"/>
      <c r="AV67" s="113"/>
      <c r="AW67" s="113"/>
      <c r="AX67" s="113"/>
      <c r="AY67" s="113"/>
      <c r="AZ67" s="113"/>
      <c r="BA67" s="113"/>
      <c r="BB67" s="113"/>
      <c r="BC67" s="113"/>
      <c r="BD67" s="113"/>
      <c r="BE67" s="113"/>
      <c r="BF67" s="113"/>
    </row>
    <row r="68" spans="1:58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113"/>
      <c r="W68" s="113"/>
      <c r="X68" s="113"/>
      <c r="Y68" s="113"/>
      <c r="Z68" s="113"/>
      <c r="AA68" s="113"/>
      <c r="AB68" s="113"/>
      <c r="AC68" s="113"/>
      <c r="AD68" s="113"/>
      <c r="AE68" s="113"/>
      <c r="AF68" s="113"/>
      <c r="AG68" s="113"/>
      <c r="AH68" s="113"/>
      <c r="AI68" s="113"/>
      <c r="AJ68" s="113"/>
      <c r="AK68" s="113"/>
      <c r="AL68" s="113"/>
      <c r="AM68" s="113"/>
      <c r="AN68" s="113"/>
      <c r="AO68" s="113"/>
      <c r="AP68" s="113"/>
      <c r="AQ68" s="113"/>
      <c r="AR68" s="113"/>
      <c r="AS68" s="113"/>
      <c r="AT68" s="113"/>
      <c r="AU68" s="113"/>
      <c r="AV68" s="113"/>
      <c r="AW68" s="113"/>
      <c r="AX68" s="113"/>
      <c r="AY68" s="113"/>
      <c r="AZ68" s="113"/>
      <c r="BA68" s="113"/>
      <c r="BB68" s="113"/>
      <c r="BC68" s="113"/>
      <c r="BD68" s="113"/>
      <c r="BE68" s="113"/>
      <c r="BF68" s="113"/>
    </row>
    <row r="69" spans="1:58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113"/>
      <c r="W69" s="113"/>
      <c r="X69" s="113"/>
      <c r="Y69" s="113"/>
      <c r="Z69" s="113"/>
      <c r="AA69" s="113"/>
      <c r="AB69" s="113"/>
      <c r="AC69" s="113"/>
      <c r="AD69" s="113"/>
      <c r="AE69" s="113"/>
      <c r="AF69" s="113"/>
      <c r="AG69" s="113"/>
      <c r="AH69" s="113"/>
      <c r="AI69" s="113"/>
      <c r="AJ69" s="113"/>
      <c r="AK69" s="113"/>
      <c r="AL69" s="113"/>
      <c r="AM69" s="113"/>
      <c r="AN69" s="113"/>
      <c r="AO69" s="113"/>
      <c r="AP69" s="113"/>
      <c r="AQ69" s="113"/>
      <c r="AR69" s="113"/>
      <c r="AS69" s="113"/>
      <c r="AT69" s="113"/>
      <c r="AU69" s="113"/>
      <c r="AV69" s="113"/>
      <c r="AW69" s="113"/>
      <c r="AX69" s="113"/>
      <c r="AY69" s="113"/>
      <c r="AZ69" s="113"/>
      <c r="BA69" s="113"/>
      <c r="BB69" s="113"/>
      <c r="BC69" s="113"/>
      <c r="BD69" s="113"/>
      <c r="BE69" s="113"/>
      <c r="BF69" s="113"/>
    </row>
    <row r="70" spans="1:58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113"/>
      <c r="W70" s="113"/>
      <c r="X70" s="113"/>
      <c r="Y70" s="113"/>
      <c r="Z70" s="113"/>
      <c r="AA70" s="113"/>
      <c r="AB70" s="113"/>
      <c r="AC70" s="113"/>
      <c r="AD70" s="113"/>
      <c r="AE70" s="113"/>
      <c r="AF70" s="113"/>
      <c r="AG70" s="113"/>
      <c r="AH70" s="113"/>
      <c r="AI70" s="113"/>
      <c r="AJ70" s="113"/>
      <c r="AK70" s="113"/>
      <c r="AL70" s="113"/>
      <c r="AM70" s="113"/>
      <c r="AN70" s="113"/>
      <c r="AO70" s="113"/>
      <c r="AP70" s="113"/>
      <c r="AQ70" s="113"/>
      <c r="AR70" s="113"/>
      <c r="AS70" s="113"/>
      <c r="AT70" s="113"/>
      <c r="AU70" s="113"/>
      <c r="AV70" s="113"/>
      <c r="AW70" s="113"/>
      <c r="AX70" s="113"/>
      <c r="AY70" s="113"/>
      <c r="AZ70" s="113"/>
      <c r="BA70" s="113"/>
      <c r="BB70" s="113"/>
      <c r="BC70" s="113"/>
      <c r="BD70" s="113"/>
      <c r="BE70" s="113"/>
      <c r="BF70" s="113"/>
    </row>
    <row r="71" spans="1:58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113"/>
      <c r="W71" s="113"/>
      <c r="X71" s="113"/>
      <c r="Y71" s="113"/>
      <c r="Z71" s="113"/>
      <c r="AA71" s="113"/>
      <c r="AB71" s="113"/>
      <c r="AC71" s="113"/>
      <c r="AD71" s="113"/>
      <c r="AE71" s="113"/>
      <c r="AF71" s="113"/>
      <c r="AG71" s="113"/>
      <c r="AH71" s="113"/>
      <c r="AI71" s="113"/>
      <c r="AJ71" s="113"/>
      <c r="AK71" s="113"/>
      <c r="AL71" s="113"/>
      <c r="AM71" s="113"/>
      <c r="AN71" s="113"/>
      <c r="AO71" s="113"/>
      <c r="AP71" s="113"/>
      <c r="AQ71" s="113"/>
      <c r="AR71" s="113"/>
      <c r="AS71" s="113"/>
      <c r="AT71" s="113"/>
      <c r="AU71" s="113"/>
      <c r="AV71" s="113"/>
      <c r="AW71" s="113"/>
      <c r="AX71" s="113"/>
      <c r="AY71" s="113"/>
      <c r="AZ71" s="113"/>
      <c r="BA71" s="113"/>
      <c r="BB71" s="113"/>
      <c r="BC71" s="113"/>
      <c r="BD71" s="113"/>
      <c r="BE71" s="113"/>
      <c r="BF71" s="113"/>
    </row>
    <row r="72" spans="1:58">
      <c r="A72" s="39"/>
      <c r="B72" s="39"/>
      <c r="C72" s="39"/>
      <c r="D72" s="39"/>
      <c r="E72" s="39"/>
      <c r="F72" s="39"/>
      <c r="G72" s="39"/>
      <c r="H72" s="39"/>
      <c r="I72" s="39"/>
      <c r="J72" s="39"/>
      <c r="K72" s="39"/>
      <c r="L72" s="39"/>
      <c r="M72" s="39"/>
      <c r="N72" s="39"/>
      <c r="O72" s="39"/>
      <c r="P72" s="39"/>
      <c r="Q72" s="39"/>
      <c r="R72" s="39"/>
      <c r="S72" s="39"/>
      <c r="T72" s="39"/>
      <c r="U72" s="39"/>
      <c r="V72" s="113"/>
      <c r="W72" s="113"/>
      <c r="X72" s="113"/>
      <c r="Y72" s="113"/>
      <c r="Z72" s="113"/>
      <c r="AA72" s="113"/>
      <c r="AB72" s="113"/>
      <c r="AC72" s="113"/>
      <c r="AD72" s="113"/>
      <c r="AE72" s="113"/>
      <c r="AF72" s="113"/>
      <c r="AG72" s="113"/>
      <c r="AH72" s="113"/>
      <c r="AI72" s="113"/>
      <c r="AJ72" s="113"/>
      <c r="AK72" s="113"/>
      <c r="AL72" s="113"/>
      <c r="AM72" s="113"/>
      <c r="AN72" s="113"/>
      <c r="AO72" s="113"/>
      <c r="AP72" s="113"/>
      <c r="AQ72" s="113"/>
      <c r="AR72" s="113"/>
      <c r="AS72" s="113"/>
      <c r="AT72" s="113"/>
      <c r="AU72" s="113"/>
      <c r="AV72" s="113"/>
      <c r="AW72" s="113"/>
      <c r="AX72" s="113"/>
      <c r="AY72" s="113"/>
      <c r="AZ72" s="113"/>
      <c r="BA72" s="113"/>
      <c r="BB72" s="113"/>
      <c r="BC72" s="113"/>
      <c r="BD72" s="113"/>
      <c r="BE72" s="113"/>
      <c r="BF72" s="113"/>
    </row>
    <row r="73" spans="1:58">
      <c r="A73" s="39"/>
      <c r="B73" s="39"/>
      <c r="C73" s="39"/>
      <c r="D73" s="39"/>
      <c r="E73" s="39"/>
      <c r="F73" s="39"/>
      <c r="G73" s="39"/>
      <c r="H73" s="39"/>
      <c r="I73" s="39"/>
      <c r="J73" s="39"/>
      <c r="K73" s="39"/>
      <c r="L73" s="39"/>
      <c r="M73" s="39"/>
      <c r="N73" s="39"/>
      <c r="O73" s="39"/>
      <c r="P73" s="39"/>
      <c r="Q73" s="39"/>
      <c r="R73" s="39"/>
      <c r="S73" s="39"/>
      <c r="T73" s="39"/>
      <c r="U73" s="39"/>
      <c r="V73" s="113"/>
      <c r="W73" s="113"/>
      <c r="X73" s="113"/>
      <c r="Y73" s="113"/>
      <c r="Z73" s="113"/>
      <c r="AA73" s="113"/>
      <c r="AB73" s="113"/>
      <c r="AC73" s="113"/>
      <c r="AD73" s="113"/>
      <c r="AE73" s="113"/>
      <c r="AF73" s="113"/>
      <c r="AG73" s="113"/>
      <c r="AH73" s="113"/>
      <c r="AI73" s="113"/>
      <c r="AJ73" s="113"/>
      <c r="AK73" s="113"/>
      <c r="AL73" s="113"/>
      <c r="AM73" s="113"/>
      <c r="AN73" s="113"/>
      <c r="AO73" s="113"/>
      <c r="AP73" s="113"/>
      <c r="AQ73" s="113"/>
      <c r="AR73" s="113"/>
      <c r="AS73" s="113"/>
      <c r="AT73" s="113"/>
      <c r="AU73" s="113"/>
      <c r="AV73" s="113"/>
      <c r="AW73" s="113"/>
      <c r="AX73" s="113"/>
      <c r="AY73" s="113"/>
      <c r="AZ73" s="113"/>
      <c r="BA73" s="113"/>
      <c r="BB73" s="113"/>
      <c r="BC73" s="113"/>
      <c r="BD73" s="113"/>
      <c r="BE73" s="113"/>
      <c r="BF73" s="113"/>
    </row>
    <row r="74" spans="1:58">
      <c r="A74" s="39"/>
      <c r="B74" s="39"/>
      <c r="C74" s="39"/>
      <c r="D74" s="39"/>
      <c r="E74" s="39"/>
      <c r="F74" s="39"/>
      <c r="G74" s="39"/>
      <c r="H74" s="39"/>
      <c r="I74" s="39"/>
      <c r="J74" s="39"/>
      <c r="K74" s="39"/>
      <c r="L74" s="39"/>
      <c r="M74" s="39"/>
      <c r="N74" s="39"/>
      <c r="O74" s="39"/>
      <c r="P74" s="39"/>
      <c r="Q74" s="39"/>
      <c r="R74" s="39"/>
      <c r="S74" s="39"/>
      <c r="T74" s="39"/>
      <c r="U74" s="39"/>
      <c r="V74" s="113"/>
      <c r="W74" s="113"/>
      <c r="X74" s="113"/>
      <c r="Y74" s="113"/>
      <c r="Z74" s="113"/>
      <c r="AA74" s="113"/>
      <c r="AB74" s="113"/>
      <c r="AC74" s="113"/>
      <c r="AD74" s="113"/>
      <c r="AE74" s="113"/>
      <c r="AF74" s="113"/>
      <c r="AG74" s="113"/>
      <c r="AH74" s="113"/>
      <c r="AI74" s="113"/>
      <c r="AJ74" s="113"/>
      <c r="AK74" s="113"/>
      <c r="AL74" s="113"/>
      <c r="AM74" s="113"/>
      <c r="AN74" s="113"/>
      <c r="AO74" s="113"/>
      <c r="AP74" s="113"/>
      <c r="AQ74" s="113"/>
      <c r="AR74" s="113"/>
      <c r="AS74" s="113"/>
      <c r="AT74" s="113"/>
      <c r="AU74" s="113"/>
      <c r="AV74" s="113"/>
      <c r="AW74" s="113"/>
      <c r="AX74" s="113"/>
      <c r="AY74" s="113"/>
      <c r="AZ74" s="113"/>
      <c r="BA74" s="113"/>
      <c r="BB74" s="113"/>
      <c r="BC74" s="113"/>
      <c r="BD74" s="113"/>
      <c r="BE74" s="113"/>
      <c r="BF74" s="113"/>
    </row>
    <row r="75" spans="1:58">
      <c r="A75" s="39"/>
      <c r="B75" s="39"/>
      <c r="C75" s="39"/>
      <c r="D75" s="39"/>
      <c r="E75" s="39"/>
      <c r="F75" s="39"/>
      <c r="G75" s="39"/>
      <c r="H75" s="39"/>
      <c r="I75" s="39"/>
      <c r="J75" s="39"/>
      <c r="K75" s="39"/>
      <c r="L75" s="39"/>
      <c r="M75" s="39"/>
      <c r="N75" s="39"/>
      <c r="O75" s="39"/>
      <c r="P75" s="39"/>
      <c r="Q75" s="39"/>
      <c r="R75" s="39"/>
      <c r="S75" s="39"/>
      <c r="T75" s="39"/>
      <c r="U75" s="39"/>
      <c r="V75" s="113"/>
      <c r="W75" s="113"/>
      <c r="X75" s="113"/>
      <c r="Y75" s="113"/>
      <c r="Z75" s="113"/>
      <c r="AA75" s="113"/>
      <c r="AB75" s="113"/>
      <c r="AC75" s="113"/>
      <c r="AD75" s="113"/>
      <c r="AE75" s="113"/>
      <c r="AF75" s="113"/>
      <c r="AG75" s="113"/>
      <c r="AH75" s="113"/>
      <c r="AI75" s="113"/>
      <c r="AJ75" s="113"/>
      <c r="AK75" s="113"/>
      <c r="AL75" s="113"/>
      <c r="AM75" s="113"/>
      <c r="AN75" s="113"/>
      <c r="AO75" s="113"/>
      <c r="AP75" s="113"/>
      <c r="AQ75" s="113"/>
      <c r="AR75" s="113"/>
      <c r="AS75" s="113"/>
      <c r="AT75" s="113"/>
      <c r="AU75" s="113"/>
      <c r="AV75" s="113"/>
      <c r="AW75" s="113"/>
      <c r="AX75" s="113"/>
      <c r="AY75" s="113"/>
      <c r="AZ75" s="113"/>
      <c r="BA75" s="113"/>
      <c r="BB75" s="113"/>
      <c r="BC75" s="113"/>
      <c r="BD75" s="113"/>
      <c r="BE75" s="113"/>
      <c r="BF75" s="113"/>
    </row>
    <row r="76" spans="1:58">
      <c r="A76" s="39"/>
      <c r="B76" s="39"/>
      <c r="C76" s="39"/>
      <c r="D76" s="39"/>
      <c r="E76" s="39"/>
      <c r="F76" s="39"/>
      <c r="G76" s="39"/>
      <c r="H76" s="39"/>
      <c r="I76" s="39"/>
      <c r="J76" s="39"/>
      <c r="K76" s="39"/>
      <c r="L76" s="39"/>
      <c r="M76" s="39"/>
      <c r="N76" s="39"/>
      <c r="O76" s="39"/>
      <c r="P76" s="39"/>
      <c r="Q76" s="39"/>
      <c r="R76" s="39"/>
      <c r="S76" s="39"/>
      <c r="T76" s="39"/>
      <c r="U76" s="39"/>
      <c r="V76" s="113"/>
      <c r="W76" s="113"/>
      <c r="X76" s="113"/>
      <c r="Y76" s="113"/>
      <c r="Z76" s="113"/>
      <c r="AA76" s="113"/>
      <c r="AB76" s="113"/>
      <c r="AC76" s="113"/>
      <c r="AD76" s="113"/>
      <c r="AE76" s="113"/>
      <c r="AF76" s="113"/>
      <c r="AG76" s="113"/>
      <c r="AH76" s="113"/>
      <c r="AI76" s="113"/>
      <c r="AJ76" s="113"/>
      <c r="AK76" s="113"/>
      <c r="AL76" s="113"/>
      <c r="AM76" s="113"/>
      <c r="AN76" s="113"/>
      <c r="AO76" s="113"/>
      <c r="AP76" s="113"/>
      <c r="AQ76" s="113"/>
      <c r="AR76" s="113"/>
      <c r="AS76" s="113"/>
      <c r="AT76" s="113"/>
      <c r="AU76" s="113"/>
      <c r="AV76" s="113"/>
      <c r="AW76" s="113"/>
      <c r="AX76" s="113"/>
      <c r="AY76" s="113"/>
      <c r="AZ76" s="113"/>
      <c r="BA76" s="113"/>
      <c r="BB76" s="113"/>
      <c r="BC76" s="113"/>
      <c r="BD76" s="113"/>
      <c r="BE76" s="113"/>
      <c r="BF76" s="113"/>
    </row>
    <row r="77" spans="1:58">
      <c r="A77" s="39"/>
      <c r="B77" s="39"/>
      <c r="C77" s="39"/>
      <c r="D77" s="39"/>
      <c r="E77" s="39"/>
      <c r="F77" s="39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113"/>
      <c r="W77" s="113"/>
      <c r="X77" s="113"/>
      <c r="Y77" s="113"/>
      <c r="Z77" s="113"/>
      <c r="AA77" s="113"/>
      <c r="AB77" s="113"/>
      <c r="AC77" s="113"/>
      <c r="AD77" s="113"/>
      <c r="AE77" s="113"/>
      <c r="AF77" s="113"/>
      <c r="AG77" s="113"/>
      <c r="AH77" s="113"/>
      <c r="AI77" s="113"/>
      <c r="AJ77" s="113"/>
      <c r="AK77" s="113"/>
      <c r="AL77" s="113"/>
      <c r="AM77" s="113"/>
      <c r="AN77" s="113"/>
      <c r="AO77" s="113"/>
      <c r="AP77" s="113"/>
      <c r="AQ77" s="113"/>
      <c r="AR77" s="113"/>
      <c r="AS77" s="113"/>
      <c r="AT77" s="113"/>
      <c r="AU77" s="113"/>
      <c r="AV77" s="113"/>
      <c r="AW77" s="113"/>
      <c r="AX77" s="113"/>
      <c r="AY77" s="113"/>
      <c r="AZ77" s="113"/>
      <c r="BA77" s="113"/>
      <c r="BB77" s="113"/>
      <c r="BC77" s="113"/>
      <c r="BD77" s="113"/>
      <c r="BE77" s="113"/>
      <c r="BF77" s="113"/>
    </row>
    <row r="78" spans="1:58">
      <c r="A78" s="39"/>
      <c r="B78" s="39"/>
      <c r="C78" s="39"/>
      <c r="D78" s="39"/>
      <c r="E78" s="39"/>
      <c r="F78" s="39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113"/>
      <c r="W78" s="113"/>
      <c r="X78" s="113"/>
      <c r="Y78" s="113"/>
      <c r="Z78" s="113"/>
      <c r="AA78" s="113"/>
      <c r="AB78" s="113"/>
      <c r="AC78" s="113"/>
      <c r="AD78" s="113"/>
      <c r="AE78" s="113"/>
      <c r="AF78" s="113"/>
      <c r="AG78" s="113"/>
      <c r="AH78" s="113"/>
      <c r="AI78" s="113"/>
      <c r="AJ78" s="113"/>
      <c r="AK78" s="113"/>
      <c r="AL78" s="113"/>
      <c r="AM78" s="113"/>
      <c r="AN78" s="113"/>
      <c r="AO78" s="113"/>
      <c r="AP78" s="113"/>
      <c r="AQ78" s="113"/>
      <c r="AR78" s="113"/>
      <c r="AS78" s="113"/>
      <c r="AT78" s="113"/>
      <c r="AU78" s="113"/>
      <c r="AV78" s="113"/>
      <c r="AW78" s="113"/>
      <c r="AX78" s="113"/>
      <c r="AY78" s="113"/>
      <c r="AZ78" s="113"/>
      <c r="BA78" s="113"/>
      <c r="BB78" s="113"/>
      <c r="BC78" s="113"/>
      <c r="BD78" s="113"/>
      <c r="BE78" s="113"/>
      <c r="BF78" s="113"/>
    </row>
    <row r="79" spans="1:58">
      <c r="A79" s="39"/>
      <c r="B79" s="39"/>
      <c r="C79" s="39"/>
      <c r="D79" s="39"/>
      <c r="E79" s="39"/>
      <c r="F79" s="39"/>
      <c r="G79" s="39"/>
      <c r="H79" s="39"/>
      <c r="I79" s="39"/>
      <c r="J79" s="39"/>
      <c r="K79" s="39"/>
      <c r="L79" s="39"/>
      <c r="M79" s="39"/>
      <c r="N79" s="39"/>
      <c r="O79" s="39"/>
      <c r="P79" s="39"/>
      <c r="Q79" s="39"/>
      <c r="R79" s="39"/>
      <c r="S79" s="39"/>
      <c r="T79" s="39"/>
      <c r="U79" s="39"/>
      <c r="V79" s="113"/>
      <c r="W79" s="113"/>
      <c r="X79" s="113"/>
      <c r="Y79" s="113"/>
      <c r="Z79" s="113"/>
      <c r="AA79" s="113"/>
      <c r="AB79" s="113"/>
      <c r="AC79" s="113"/>
      <c r="AD79" s="113"/>
      <c r="AE79" s="113"/>
      <c r="AF79" s="113"/>
      <c r="AG79" s="113"/>
      <c r="AH79" s="113"/>
      <c r="AI79" s="113"/>
      <c r="AJ79" s="113"/>
      <c r="AK79" s="113"/>
      <c r="AL79" s="113"/>
      <c r="AM79" s="113"/>
      <c r="AN79" s="113"/>
      <c r="AO79" s="113"/>
      <c r="AP79" s="113"/>
      <c r="AQ79" s="113"/>
      <c r="AR79" s="113"/>
      <c r="AS79" s="113"/>
      <c r="AT79" s="113"/>
      <c r="AU79" s="113"/>
      <c r="AV79" s="113"/>
      <c r="AW79" s="113"/>
      <c r="AX79" s="113"/>
      <c r="AY79" s="113"/>
      <c r="AZ79" s="113"/>
      <c r="BA79" s="113"/>
      <c r="BB79" s="113"/>
      <c r="BC79" s="113"/>
      <c r="BD79" s="113"/>
      <c r="BE79" s="113"/>
      <c r="BF79" s="113"/>
    </row>
    <row r="80" spans="1:58">
      <c r="A80" s="39"/>
      <c r="B80" s="39"/>
      <c r="C80" s="39"/>
      <c r="D80" s="39"/>
      <c r="E80" s="39"/>
      <c r="F80" s="39"/>
      <c r="G80" s="39"/>
      <c r="H80" s="39"/>
      <c r="I80" s="39"/>
      <c r="J80" s="39"/>
      <c r="K80" s="39"/>
      <c r="L80" s="39"/>
      <c r="M80" s="39"/>
      <c r="N80" s="39"/>
      <c r="O80" s="39"/>
      <c r="P80" s="39"/>
      <c r="Q80" s="39"/>
      <c r="R80" s="39"/>
      <c r="S80" s="39"/>
      <c r="T80" s="39"/>
      <c r="U80" s="39"/>
      <c r="V80" s="113"/>
      <c r="W80" s="113"/>
      <c r="X80" s="113"/>
      <c r="Y80" s="113"/>
      <c r="Z80" s="113"/>
      <c r="AA80" s="113"/>
      <c r="AB80" s="113"/>
      <c r="AC80" s="113"/>
      <c r="AD80" s="113"/>
      <c r="AE80" s="113"/>
      <c r="AF80" s="113"/>
      <c r="AG80" s="113"/>
      <c r="AH80" s="113"/>
      <c r="AI80" s="113"/>
      <c r="AJ80" s="113"/>
      <c r="AK80" s="113"/>
      <c r="AL80" s="113"/>
      <c r="AM80" s="113"/>
      <c r="AN80" s="113"/>
      <c r="AO80" s="113"/>
      <c r="AP80" s="113"/>
      <c r="AQ80" s="113"/>
      <c r="AR80" s="113"/>
      <c r="AS80" s="113"/>
      <c r="AT80" s="113"/>
      <c r="AU80" s="113"/>
      <c r="AV80" s="113"/>
      <c r="AW80" s="113"/>
      <c r="AX80" s="113"/>
      <c r="AY80" s="113"/>
      <c r="AZ80" s="113"/>
      <c r="BA80" s="113"/>
      <c r="BB80" s="113"/>
      <c r="BC80" s="113"/>
      <c r="BD80" s="113"/>
      <c r="BE80" s="113"/>
      <c r="BF80" s="113"/>
    </row>
    <row r="81" spans="1:58">
      <c r="A81" s="39"/>
      <c r="B81" s="39"/>
      <c r="C81" s="39"/>
      <c r="D81" s="39"/>
      <c r="E81" s="39"/>
      <c r="F81" s="39"/>
      <c r="G81" s="39"/>
      <c r="H81" s="39"/>
      <c r="I81" s="39"/>
      <c r="J81" s="39"/>
      <c r="K81" s="39"/>
      <c r="L81" s="39"/>
      <c r="M81" s="39"/>
      <c r="N81" s="39"/>
      <c r="O81" s="39"/>
      <c r="P81" s="39"/>
      <c r="Q81" s="39"/>
      <c r="R81" s="39"/>
      <c r="S81" s="39"/>
      <c r="T81" s="39"/>
      <c r="U81" s="39"/>
      <c r="V81" s="113"/>
      <c r="W81" s="113"/>
      <c r="X81" s="113"/>
      <c r="Y81" s="113"/>
      <c r="Z81" s="113"/>
      <c r="AA81" s="113"/>
      <c r="AB81" s="113"/>
      <c r="AC81" s="113"/>
      <c r="AD81" s="113"/>
      <c r="AE81" s="113"/>
      <c r="AF81" s="113"/>
      <c r="AG81" s="113"/>
      <c r="AH81" s="113"/>
      <c r="AI81" s="113"/>
      <c r="AJ81" s="113"/>
      <c r="AK81" s="113"/>
      <c r="AL81" s="113"/>
      <c r="AM81" s="113"/>
      <c r="AN81" s="113"/>
      <c r="AO81" s="113"/>
      <c r="AP81" s="113"/>
      <c r="AQ81" s="113"/>
      <c r="AR81" s="113"/>
      <c r="AS81" s="113"/>
      <c r="AT81" s="113"/>
      <c r="AU81" s="113"/>
      <c r="AV81" s="113"/>
      <c r="AW81" s="113"/>
      <c r="AX81" s="113"/>
      <c r="AY81" s="113"/>
      <c r="AZ81" s="113"/>
      <c r="BA81" s="113"/>
      <c r="BB81" s="113"/>
      <c r="BC81" s="113"/>
      <c r="BD81" s="113"/>
      <c r="BE81" s="113"/>
      <c r="BF81" s="113"/>
    </row>
    <row r="82" spans="1:58">
      <c r="A82" s="39"/>
      <c r="B82" s="39"/>
      <c r="C82" s="39"/>
      <c r="D82" s="39"/>
      <c r="E82" s="39"/>
      <c r="F82" s="39"/>
      <c r="G82" s="39"/>
      <c r="H82" s="39"/>
      <c r="I82" s="39"/>
      <c r="J82" s="39"/>
      <c r="K82" s="39"/>
      <c r="L82" s="39"/>
      <c r="M82" s="39"/>
      <c r="N82" s="39"/>
      <c r="O82" s="39"/>
      <c r="P82" s="39"/>
      <c r="Q82" s="39"/>
      <c r="R82" s="39"/>
      <c r="S82" s="39"/>
      <c r="T82" s="39"/>
      <c r="U82" s="39"/>
      <c r="V82" s="113"/>
      <c r="W82" s="113"/>
      <c r="X82" s="113"/>
      <c r="Y82" s="113"/>
      <c r="Z82" s="113"/>
      <c r="AA82" s="113"/>
      <c r="AB82" s="113"/>
      <c r="AC82" s="113"/>
      <c r="AD82" s="113"/>
      <c r="AE82" s="113"/>
      <c r="AF82" s="113"/>
      <c r="AG82" s="113"/>
      <c r="AH82" s="113"/>
      <c r="AI82" s="113"/>
      <c r="AJ82" s="113"/>
      <c r="AK82" s="113"/>
      <c r="AL82" s="113"/>
      <c r="AM82" s="113"/>
      <c r="AN82" s="113"/>
      <c r="AO82" s="113"/>
      <c r="AP82" s="113"/>
      <c r="AQ82" s="113"/>
      <c r="AR82" s="113"/>
      <c r="AS82" s="113"/>
      <c r="AT82" s="113"/>
      <c r="AU82" s="113"/>
      <c r="AV82" s="113"/>
      <c r="AW82" s="113"/>
      <c r="AX82" s="113"/>
      <c r="AY82" s="113"/>
      <c r="AZ82" s="113"/>
      <c r="BA82" s="113"/>
      <c r="BB82" s="113"/>
      <c r="BC82" s="113"/>
      <c r="BD82" s="113"/>
      <c r="BE82" s="113"/>
      <c r="BF82" s="113"/>
    </row>
    <row r="83" spans="1:58">
      <c r="A83" s="39"/>
      <c r="B83" s="39"/>
      <c r="C83" s="39"/>
      <c r="D83" s="39"/>
      <c r="E83" s="39"/>
      <c r="F83" s="39"/>
      <c r="G83" s="39"/>
      <c r="H83" s="39"/>
      <c r="I83" s="39"/>
      <c r="J83" s="39"/>
      <c r="K83" s="39"/>
      <c r="L83" s="39"/>
      <c r="M83" s="39"/>
      <c r="N83" s="39"/>
      <c r="O83" s="39"/>
      <c r="P83" s="39"/>
      <c r="Q83" s="39"/>
      <c r="R83" s="39"/>
      <c r="S83" s="39"/>
      <c r="T83" s="39"/>
      <c r="U83" s="39"/>
      <c r="V83" s="113"/>
      <c r="W83" s="113"/>
      <c r="X83" s="113"/>
      <c r="Y83" s="113"/>
      <c r="Z83" s="113"/>
      <c r="AA83" s="113"/>
      <c r="AB83" s="113"/>
      <c r="AC83" s="113"/>
      <c r="AD83" s="113"/>
      <c r="AE83" s="113"/>
      <c r="AF83" s="113"/>
      <c r="AG83" s="113"/>
      <c r="AH83" s="113"/>
      <c r="AI83" s="113"/>
      <c r="AJ83" s="113"/>
      <c r="AK83" s="113"/>
      <c r="AL83" s="113"/>
      <c r="AM83" s="113"/>
      <c r="AN83" s="113"/>
      <c r="AO83" s="113"/>
      <c r="AP83" s="113"/>
      <c r="AQ83" s="113"/>
      <c r="AR83" s="113"/>
      <c r="AS83" s="113"/>
      <c r="AT83" s="113"/>
      <c r="AU83" s="113"/>
      <c r="AV83" s="113"/>
      <c r="AW83" s="113"/>
      <c r="AX83" s="113"/>
      <c r="AY83" s="113"/>
      <c r="AZ83" s="113"/>
      <c r="BA83" s="113"/>
      <c r="BB83" s="113"/>
      <c r="BC83" s="113"/>
      <c r="BD83" s="113"/>
      <c r="BE83" s="113"/>
      <c r="BF83" s="113"/>
    </row>
    <row r="84" spans="1:58">
      <c r="A84" s="39"/>
      <c r="B84" s="39"/>
      <c r="C84" s="39"/>
      <c r="D84" s="39"/>
      <c r="E84" s="39"/>
      <c r="F84" s="39"/>
      <c r="G84" s="39"/>
      <c r="H84" s="39"/>
      <c r="I84" s="39"/>
      <c r="J84" s="39"/>
      <c r="K84" s="39"/>
      <c r="L84" s="39"/>
      <c r="M84" s="39"/>
      <c r="N84" s="39"/>
      <c r="O84" s="39"/>
      <c r="P84" s="39"/>
      <c r="Q84" s="39"/>
      <c r="R84" s="39"/>
      <c r="S84" s="39"/>
      <c r="T84" s="39"/>
      <c r="U84" s="39"/>
      <c r="V84" s="113"/>
      <c r="W84" s="113"/>
      <c r="X84" s="113"/>
      <c r="Y84" s="113"/>
      <c r="Z84" s="113"/>
      <c r="AA84" s="113"/>
      <c r="AB84" s="113"/>
      <c r="AC84" s="113"/>
      <c r="AD84" s="113"/>
      <c r="AE84" s="113"/>
      <c r="AF84" s="113"/>
      <c r="AG84" s="113"/>
      <c r="AH84" s="113"/>
      <c r="AI84" s="113"/>
      <c r="AJ84" s="113"/>
      <c r="AK84" s="113"/>
      <c r="AL84" s="113"/>
      <c r="AM84" s="113"/>
      <c r="AN84" s="113"/>
      <c r="AO84" s="113"/>
      <c r="AP84" s="113"/>
      <c r="AQ84" s="113"/>
      <c r="AR84" s="113"/>
      <c r="AS84" s="113"/>
      <c r="AT84" s="113"/>
      <c r="AU84" s="113"/>
      <c r="AV84" s="113"/>
      <c r="AW84" s="113"/>
      <c r="AX84" s="113"/>
      <c r="AY84" s="113"/>
      <c r="AZ84" s="113"/>
      <c r="BA84" s="113"/>
      <c r="BB84" s="113"/>
      <c r="BC84" s="113"/>
      <c r="BD84" s="113"/>
      <c r="BE84" s="113"/>
      <c r="BF84" s="113"/>
    </row>
    <row r="85" spans="1:58">
      <c r="A85" s="39"/>
      <c r="B85" s="39"/>
      <c r="C85" s="39"/>
      <c r="D85" s="39"/>
      <c r="E85" s="39"/>
      <c r="F85" s="39"/>
      <c r="G85" s="39"/>
      <c r="H85" s="39"/>
      <c r="I85" s="39"/>
      <c r="J85" s="39"/>
      <c r="K85" s="39"/>
      <c r="L85" s="39"/>
      <c r="M85" s="39"/>
      <c r="N85" s="39"/>
      <c r="O85" s="39"/>
      <c r="P85" s="39"/>
      <c r="Q85" s="39"/>
      <c r="R85" s="39"/>
      <c r="S85" s="39"/>
      <c r="T85" s="39"/>
      <c r="U85" s="39"/>
      <c r="V85" s="113"/>
      <c r="W85" s="113"/>
      <c r="X85" s="113"/>
      <c r="Y85" s="113"/>
      <c r="Z85" s="113"/>
      <c r="AA85" s="113"/>
      <c r="AB85" s="113"/>
      <c r="AC85" s="113"/>
      <c r="AD85" s="113"/>
      <c r="AE85" s="113"/>
      <c r="AF85" s="113"/>
      <c r="AG85" s="113"/>
      <c r="AH85" s="113"/>
      <c r="AI85" s="113"/>
      <c r="AJ85" s="113"/>
      <c r="AK85" s="113"/>
      <c r="AL85" s="113"/>
      <c r="AM85" s="113"/>
      <c r="AN85" s="113"/>
      <c r="AO85" s="113"/>
      <c r="AP85" s="113"/>
      <c r="AQ85" s="113"/>
      <c r="AR85" s="113"/>
      <c r="AS85" s="113"/>
      <c r="AT85" s="113"/>
      <c r="AU85" s="113"/>
      <c r="AV85" s="113"/>
      <c r="AW85" s="113"/>
      <c r="AX85" s="113"/>
      <c r="AY85" s="113"/>
      <c r="AZ85" s="113"/>
      <c r="BA85" s="113"/>
      <c r="BB85" s="113"/>
      <c r="BC85" s="113"/>
      <c r="BD85" s="113"/>
      <c r="BE85" s="113"/>
      <c r="BF85" s="113"/>
    </row>
    <row r="86" spans="1:58">
      <c r="A86" s="39"/>
      <c r="B86" s="39"/>
      <c r="C86" s="39"/>
      <c r="D86" s="39"/>
      <c r="E86" s="39"/>
      <c r="F86" s="39"/>
      <c r="G86" s="39"/>
      <c r="H86" s="39"/>
      <c r="I86" s="39"/>
      <c r="J86" s="39"/>
      <c r="K86" s="39"/>
      <c r="L86" s="39"/>
      <c r="M86" s="39"/>
      <c r="N86" s="39"/>
      <c r="O86" s="39"/>
      <c r="P86" s="39"/>
      <c r="Q86" s="39"/>
      <c r="R86" s="39"/>
      <c r="S86" s="39"/>
      <c r="T86" s="39"/>
      <c r="U86" s="39"/>
      <c r="V86" s="113"/>
      <c r="W86" s="113"/>
      <c r="X86" s="113"/>
      <c r="Y86" s="113"/>
      <c r="Z86" s="113"/>
      <c r="AA86" s="113"/>
      <c r="AB86" s="113"/>
      <c r="AC86" s="113"/>
      <c r="AD86" s="113"/>
      <c r="AE86" s="113"/>
      <c r="AF86" s="113"/>
      <c r="AG86" s="113"/>
      <c r="AH86" s="113"/>
      <c r="AI86" s="113"/>
      <c r="AJ86" s="113"/>
      <c r="AK86" s="113"/>
      <c r="AL86" s="113"/>
      <c r="AM86" s="113"/>
      <c r="AN86" s="113"/>
      <c r="AO86" s="113"/>
      <c r="AP86" s="113"/>
      <c r="AQ86" s="113"/>
      <c r="AR86" s="113"/>
      <c r="AS86" s="113"/>
      <c r="AT86" s="113"/>
      <c r="AU86" s="113"/>
      <c r="AV86" s="113"/>
      <c r="AW86" s="113"/>
      <c r="AX86" s="113"/>
      <c r="AY86" s="113"/>
      <c r="AZ86" s="113"/>
      <c r="BA86" s="113"/>
      <c r="BB86" s="113"/>
      <c r="BC86" s="113"/>
      <c r="BD86" s="113"/>
      <c r="BE86" s="113"/>
      <c r="BF86" s="113"/>
    </row>
    <row r="87" spans="1:58">
      <c r="A87" s="39"/>
      <c r="B87" s="39"/>
      <c r="C87" s="39"/>
      <c r="D87" s="39"/>
      <c r="E87" s="39"/>
      <c r="F87" s="39"/>
      <c r="G87" s="39"/>
      <c r="H87" s="39"/>
      <c r="I87" s="39"/>
      <c r="J87" s="39"/>
      <c r="K87" s="39"/>
      <c r="L87" s="39"/>
      <c r="M87" s="39"/>
      <c r="N87" s="39"/>
      <c r="O87" s="39"/>
      <c r="P87" s="39"/>
      <c r="Q87" s="39"/>
      <c r="R87" s="39"/>
      <c r="S87" s="39"/>
      <c r="T87" s="39"/>
      <c r="U87" s="39"/>
      <c r="V87" s="113"/>
      <c r="W87" s="113"/>
      <c r="X87" s="113"/>
      <c r="Y87" s="113"/>
      <c r="Z87" s="113"/>
      <c r="AA87" s="113"/>
      <c r="AB87" s="113"/>
      <c r="AC87" s="113"/>
      <c r="AD87" s="113"/>
      <c r="AE87" s="113"/>
      <c r="AF87" s="113"/>
      <c r="AG87" s="113"/>
      <c r="AH87" s="113"/>
      <c r="AI87" s="113"/>
      <c r="AJ87" s="113"/>
      <c r="AK87" s="113"/>
      <c r="AL87" s="113"/>
      <c r="AM87" s="113"/>
      <c r="AN87" s="113"/>
      <c r="AO87" s="113"/>
      <c r="AP87" s="113"/>
      <c r="AQ87" s="113"/>
      <c r="AR87" s="113"/>
      <c r="AS87" s="113"/>
      <c r="AT87" s="113"/>
      <c r="AU87" s="113"/>
      <c r="AV87" s="113"/>
      <c r="AW87" s="113"/>
      <c r="AX87" s="113"/>
      <c r="AY87" s="113"/>
      <c r="AZ87" s="113"/>
      <c r="BA87" s="113"/>
      <c r="BB87" s="113"/>
      <c r="BC87" s="113"/>
      <c r="BD87" s="113"/>
      <c r="BE87" s="113"/>
      <c r="BF87" s="113"/>
    </row>
    <row r="88" spans="1:58">
      <c r="A88" s="39"/>
      <c r="B88" s="39"/>
      <c r="C88" s="39"/>
      <c r="D88" s="39"/>
      <c r="E88" s="39"/>
      <c r="F88" s="39"/>
      <c r="G88" s="39"/>
      <c r="H88" s="39"/>
      <c r="I88" s="39"/>
      <c r="J88" s="39"/>
      <c r="K88" s="39"/>
      <c r="L88" s="39"/>
      <c r="M88" s="39"/>
      <c r="N88" s="39"/>
      <c r="O88" s="39"/>
      <c r="P88" s="39"/>
      <c r="Q88" s="39"/>
      <c r="R88" s="39"/>
      <c r="S88" s="39"/>
      <c r="T88" s="39"/>
      <c r="U88" s="39"/>
      <c r="V88" s="113"/>
      <c r="W88" s="113"/>
      <c r="X88" s="113"/>
      <c r="Y88" s="113"/>
      <c r="Z88" s="113"/>
      <c r="AA88" s="113"/>
      <c r="AB88" s="113"/>
      <c r="AC88" s="113"/>
      <c r="AD88" s="113"/>
      <c r="AE88" s="113"/>
      <c r="AF88" s="113"/>
      <c r="AG88" s="113"/>
      <c r="AH88" s="113"/>
      <c r="AI88" s="113"/>
      <c r="AJ88" s="113"/>
      <c r="AK88" s="113"/>
      <c r="AL88" s="113"/>
      <c r="AM88" s="113"/>
      <c r="AN88" s="113"/>
      <c r="AO88" s="113"/>
      <c r="AP88" s="113"/>
      <c r="AQ88" s="113"/>
      <c r="AR88" s="113"/>
      <c r="AS88" s="113"/>
      <c r="AT88" s="113"/>
      <c r="AU88" s="113"/>
      <c r="AV88" s="113"/>
      <c r="AW88" s="113"/>
      <c r="AX88" s="113"/>
      <c r="AY88" s="113"/>
      <c r="AZ88" s="113"/>
      <c r="BA88" s="113"/>
      <c r="BB88" s="113"/>
      <c r="BC88" s="113"/>
      <c r="BD88" s="113"/>
      <c r="BE88" s="113"/>
      <c r="BF88" s="113"/>
    </row>
    <row r="89" spans="1:58">
      <c r="A89" s="39"/>
      <c r="B89" s="39"/>
      <c r="C89" s="39"/>
      <c r="D89" s="39"/>
      <c r="E89" s="39"/>
      <c r="F89" s="39"/>
      <c r="G89" s="39"/>
      <c r="H89" s="39"/>
      <c r="I89" s="39"/>
      <c r="J89" s="39"/>
      <c r="K89" s="39"/>
      <c r="L89" s="39"/>
      <c r="M89" s="39"/>
      <c r="N89" s="39"/>
      <c r="O89" s="39"/>
      <c r="P89" s="39"/>
      <c r="Q89" s="39"/>
      <c r="R89" s="39"/>
      <c r="S89" s="39"/>
      <c r="T89" s="39"/>
      <c r="U89" s="39"/>
      <c r="V89" s="113"/>
      <c r="W89" s="113"/>
      <c r="X89" s="113"/>
      <c r="Y89" s="113"/>
      <c r="Z89" s="113"/>
      <c r="AA89" s="113"/>
      <c r="AB89" s="113"/>
      <c r="AC89" s="113"/>
      <c r="AD89" s="113"/>
      <c r="AE89" s="113"/>
      <c r="AF89" s="113"/>
      <c r="AG89" s="113"/>
      <c r="AH89" s="113"/>
      <c r="AI89" s="113"/>
      <c r="AJ89" s="113"/>
      <c r="AK89" s="113"/>
      <c r="AL89" s="113"/>
      <c r="AM89" s="113"/>
      <c r="AN89" s="113"/>
      <c r="AO89" s="113"/>
      <c r="AP89" s="113"/>
      <c r="AQ89" s="113"/>
      <c r="AR89" s="113"/>
      <c r="AS89" s="113"/>
      <c r="AT89" s="113"/>
      <c r="AU89" s="113"/>
      <c r="AV89" s="113"/>
      <c r="AW89" s="113"/>
      <c r="AX89" s="113"/>
      <c r="AY89" s="113"/>
      <c r="AZ89" s="113"/>
      <c r="BA89" s="113"/>
      <c r="BB89" s="113"/>
      <c r="BC89" s="113"/>
      <c r="BD89" s="113"/>
      <c r="BE89" s="113"/>
      <c r="BF89" s="113"/>
    </row>
    <row r="90" spans="1:58">
      <c r="A90" s="39"/>
      <c r="B90" s="39"/>
      <c r="C90" s="39"/>
      <c r="D90" s="39"/>
      <c r="E90" s="39"/>
      <c r="F90" s="39"/>
      <c r="G90" s="39"/>
      <c r="H90" s="39"/>
      <c r="I90" s="39"/>
      <c r="J90" s="39"/>
      <c r="K90" s="39"/>
      <c r="L90" s="39"/>
      <c r="M90" s="39"/>
      <c r="N90" s="39"/>
      <c r="O90" s="39"/>
      <c r="P90" s="39"/>
      <c r="Q90" s="39"/>
      <c r="R90" s="39"/>
      <c r="S90" s="39"/>
      <c r="T90" s="39"/>
      <c r="U90" s="39"/>
      <c r="V90" s="113"/>
      <c r="W90" s="113"/>
      <c r="X90" s="113"/>
      <c r="Y90" s="113"/>
      <c r="Z90" s="113"/>
      <c r="AA90" s="113"/>
      <c r="AB90" s="113"/>
      <c r="AC90" s="113"/>
      <c r="AD90" s="113"/>
      <c r="AE90" s="113"/>
      <c r="AF90" s="113"/>
      <c r="AG90" s="113"/>
      <c r="AH90" s="113"/>
      <c r="AI90" s="113"/>
      <c r="AJ90" s="113"/>
      <c r="AK90" s="113"/>
      <c r="AL90" s="113"/>
      <c r="AM90" s="113"/>
      <c r="AN90" s="113"/>
      <c r="AO90" s="113"/>
      <c r="AP90" s="113"/>
      <c r="AQ90" s="113"/>
      <c r="AR90" s="113"/>
      <c r="AS90" s="113"/>
      <c r="AT90" s="113"/>
      <c r="AU90" s="113"/>
      <c r="AV90" s="113"/>
      <c r="AW90" s="113"/>
      <c r="AX90" s="113"/>
      <c r="AY90" s="113"/>
      <c r="AZ90" s="113"/>
      <c r="BA90" s="113"/>
      <c r="BB90" s="113"/>
      <c r="BC90" s="113"/>
      <c r="BD90" s="113"/>
      <c r="BE90" s="113"/>
      <c r="BF90" s="113"/>
    </row>
    <row r="91" spans="1:58">
      <c r="A91" s="39"/>
      <c r="B91" s="39"/>
      <c r="C91" s="39"/>
      <c r="D91" s="39"/>
      <c r="E91" s="39"/>
      <c r="F91" s="39"/>
      <c r="G91" s="39"/>
      <c r="H91" s="39"/>
      <c r="I91" s="39"/>
      <c r="J91" s="39"/>
      <c r="K91" s="39"/>
      <c r="L91" s="39"/>
      <c r="M91" s="39"/>
      <c r="N91" s="39"/>
      <c r="O91" s="39"/>
      <c r="P91" s="39"/>
      <c r="Q91" s="39"/>
      <c r="R91" s="39"/>
      <c r="S91" s="39"/>
      <c r="T91" s="39"/>
      <c r="U91" s="39"/>
      <c r="V91" s="113"/>
      <c r="W91" s="113"/>
      <c r="X91" s="113"/>
      <c r="Y91" s="113"/>
      <c r="Z91" s="113"/>
      <c r="AA91" s="113"/>
      <c r="AB91" s="113"/>
      <c r="AC91" s="113"/>
      <c r="AD91" s="113"/>
      <c r="AE91" s="113"/>
      <c r="AF91" s="113"/>
      <c r="AG91" s="113"/>
      <c r="AH91" s="113"/>
      <c r="AI91" s="113"/>
      <c r="AJ91" s="113"/>
      <c r="AK91" s="113"/>
      <c r="AL91" s="113"/>
      <c r="AM91" s="113"/>
      <c r="AN91" s="113"/>
      <c r="AO91" s="113"/>
      <c r="AP91" s="113"/>
      <c r="AQ91" s="113"/>
      <c r="AR91" s="113"/>
      <c r="AS91" s="113"/>
      <c r="AT91" s="113"/>
      <c r="AU91" s="113"/>
      <c r="AV91" s="113"/>
      <c r="AW91" s="113"/>
      <c r="AX91" s="113"/>
      <c r="AY91" s="113"/>
      <c r="AZ91" s="113"/>
      <c r="BA91" s="113"/>
      <c r="BB91" s="113"/>
      <c r="BC91" s="113"/>
      <c r="BD91" s="113"/>
      <c r="BE91" s="113"/>
      <c r="BF91" s="113"/>
    </row>
    <row r="92" spans="1:58">
      <c r="A92" s="39"/>
      <c r="B92" s="39"/>
      <c r="C92" s="39"/>
      <c r="D92" s="39"/>
      <c r="E92" s="39"/>
      <c r="F92" s="39"/>
      <c r="G92" s="39"/>
      <c r="H92" s="39"/>
      <c r="I92" s="39"/>
      <c r="J92" s="39"/>
      <c r="K92" s="39"/>
      <c r="L92" s="39"/>
      <c r="M92" s="39"/>
      <c r="N92" s="39"/>
      <c r="O92" s="39"/>
      <c r="P92" s="39"/>
      <c r="Q92" s="39"/>
      <c r="R92" s="39"/>
      <c r="S92" s="39"/>
      <c r="T92" s="39"/>
      <c r="U92" s="39"/>
      <c r="V92" s="113"/>
      <c r="W92" s="113"/>
      <c r="X92" s="113"/>
      <c r="Y92" s="113"/>
      <c r="Z92" s="113"/>
      <c r="AA92" s="113"/>
      <c r="AB92" s="113"/>
      <c r="AC92" s="113"/>
      <c r="AD92" s="113"/>
      <c r="AE92" s="113"/>
      <c r="AF92" s="113"/>
      <c r="AG92" s="113"/>
      <c r="AH92" s="113"/>
      <c r="AI92" s="113"/>
      <c r="AJ92" s="113"/>
      <c r="AK92" s="113"/>
      <c r="AL92" s="113"/>
      <c r="AM92" s="113"/>
      <c r="AN92" s="113"/>
      <c r="AO92" s="113"/>
      <c r="AP92" s="113"/>
      <c r="AQ92" s="113"/>
      <c r="AR92" s="113"/>
      <c r="AS92" s="113"/>
      <c r="AT92" s="113"/>
      <c r="AU92" s="113"/>
      <c r="AV92" s="113"/>
      <c r="AW92" s="113"/>
      <c r="AX92" s="113"/>
      <c r="AY92" s="113"/>
      <c r="AZ92" s="113"/>
      <c r="BA92" s="113"/>
      <c r="BB92" s="113"/>
      <c r="BC92" s="113"/>
      <c r="BD92" s="113"/>
      <c r="BE92" s="113"/>
      <c r="BF92" s="113"/>
    </row>
    <row r="93" spans="1:58">
      <c r="A93" s="39"/>
      <c r="B93" s="39"/>
      <c r="C93" s="39"/>
      <c r="D93" s="39"/>
      <c r="E93" s="39"/>
      <c r="F93" s="39"/>
      <c r="G93" s="39"/>
      <c r="H93" s="39"/>
      <c r="I93" s="39"/>
      <c r="J93" s="39"/>
      <c r="K93" s="39"/>
      <c r="L93" s="39"/>
      <c r="M93" s="39"/>
      <c r="N93" s="39"/>
      <c r="O93" s="39"/>
      <c r="P93" s="39"/>
      <c r="Q93" s="39"/>
      <c r="R93" s="39"/>
      <c r="S93" s="39"/>
      <c r="T93" s="39"/>
      <c r="U93" s="39"/>
      <c r="V93" s="113"/>
      <c r="W93" s="113"/>
      <c r="X93" s="113"/>
      <c r="Y93" s="113"/>
      <c r="Z93" s="113"/>
      <c r="AA93" s="113"/>
      <c r="AB93" s="113"/>
      <c r="AC93" s="113"/>
      <c r="AD93" s="113"/>
      <c r="AE93" s="113"/>
      <c r="AF93" s="113"/>
      <c r="AG93" s="113"/>
      <c r="AH93" s="113"/>
      <c r="AI93" s="113"/>
      <c r="AJ93" s="113"/>
      <c r="AK93" s="113"/>
      <c r="AL93" s="113"/>
      <c r="AM93" s="113"/>
      <c r="AN93" s="113"/>
      <c r="AO93" s="113"/>
      <c r="AP93" s="113"/>
      <c r="AQ93" s="113"/>
      <c r="AR93" s="113"/>
      <c r="AS93" s="113"/>
      <c r="AT93" s="113"/>
      <c r="AU93" s="113"/>
      <c r="AV93" s="113"/>
      <c r="AW93" s="113"/>
      <c r="AX93" s="113"/>
      <c r="AY93" s="113"/>
      <c r="AZ93" s="113"/>
      <c r="BA93" s="113"/>
      <c r="BB93" s="113"/>
      <c r="BC93" s="113"/>
      <c r="BD93" s="113"/>
      <c r="BE93" s="113"/>
      <c r="BF93" s="113"/>
    </row>
    <row r="94" spans="1:58">
      <c r="A94" s="39"/>
      <c r="B94" s="39"/>
      <c r="C94" s="39"/>
      <c r="D94" s="39"/>
      <c r="E94" s="39"/>
      <c r="F94" s="39"/>
      <c r="G94" s="39"/>
      <c r="H94" s="39"/>
      <c r="I94" s="39"/>
      <c r="J94" s="39"/>
      <c r="K94" s="39"/>
      <c r="L94" s="39"/>
      <c r="M94" s="39"/>
      <c r="N94" s="39"/>
      <c r="O94" s="39"/>
      <c r="P94" s="39"/>
      <c r="Q94" s="39"/>
      <c r="R94" s="39"/>
      <c r="S94" s="39"/>
      <c r="T94" s="39"/>
      <c r="U94" s="39"/>
      <c r="V94" s="113"/>
      <c r="W94" s="113"/>
      <c r="X94" s="113"/>
      <c r="Y94" s="113"/>
      <c r="Z94" s="113"/>
      <c r="AA94" s="113"/>
      <c r="AB94" s="113"/>
      <c r="AC94" s="113"/>
      <c r="AD94" s="113"/>
      <c r="AE94" s="113"/>
      <c r="AF94" s="113"/>
      <c r="AG94" s="113"/>
      <c r="AH94" s="113"/>
      <c r="AI94" s="113"/>
      <c r="AJ94" s="113"/>
      <c r="AK94" s="113"/>
      <c r="AL94" s="113"/>
      <c r="AM94" s="113"/>
      <c r="AN94" s="113"/>
      <c r="AO94" s="113"/>
      <c r="AP94" s="113"/>
      <c r="AQ94" s="113"/>
      <c r="AR94" s="113"/>
      <c r="AS94" s="113"/>
      <c r="AT94" s="113"/>
      <c r="AU94" s="113"/>
      <c r="AV94" s="113"/>
      <c r="AW94" s="113"/>
      <c r="AX94" s="113"/>
      <c r="AY94" s="113"/>
      <c r="AZ94" s="113"/>
      <c r="BA94" s="113"/>
      <c r="BB94" s="113"/>
      <c r="BC94" s="113"/>
      <c r="BD94" s="113"/>
      <c r="BE94" s="113"/>
      <c r="BF94" s="113"/>
    </row>
    <row r="95" spans="1:58">
      <c r="A95" s="39"/>
      <c r="B95" s="39"/>
      <c r="C95" s="39"/>
      <c r="D95" s="39"/>
      <c r="E95" s="39"/>
      <c r="F95" s="39"/>
      <c r="G95" s="39"/>
      <c r="H95" s="39"/>
      <c r="I95" s="39"/>
      <c r="J95" s="39"/>
      <c r="K95" s="39"/>
      <c r="L95" s="39"/>
      <c r="M95" s="39"/>
      <c r="N95" s="39"/>
      <c r="O95" s="39"/>
      <c r="P95" s="39"/>
      <c r="Q95" s="39"/>
      <c r="R95" s="39"/>
      <c r="S95" s="39"/>
      <c r="T95" s="39"/>
      <c r="U95" s="39"/>
      <c r="V95" s="113"/>
      <c r="W95" s="113"/>
      <c r="X95" s="113"/>
      <c r="Y95" s="113"/>
      <c r="Z95" s="113"/>
      <c r="AA95" s="113"/>
      <c r="AB95" s="113"/>
      <c r="AC95" s="113"/>
      <c r="AD95" s="113"/>
      <c r="AE95" s="113"/>
      <c r="AF95" s="113"/>
      <c r="AG95" s="113"/>
      <c r="AH95" s="113"/>
      <c r="AI95" s="113"/>
      <c r="AJ95" s="113"/>
      <c r="AK95" s="113"/>
      <c r="AL95" s="113"/>
      <c r="AM95" s="113"/>
      <c r="AN95" s="113"/>
      <c r="AO95" s="113"/>
      <c r="AP95" s="113"/>
      <c r="AQ95" s="113"/>
      <c r="AR95" s="113"/>
      <c r="AS95" s="113"/>
      <c r="AT95" s="113"/>
      <c r="AU95" s="113"/>
      <c r="AV95" s="113"/>
      <c r="AW95" s="113"/>
      <c r="AX95" s="113"/>
      <c r="AY95" s="113"/>
      <c r="AZ95" s="113"/>
      <c r="BA95" s="113"/>
      <c r="BB95" s="113"/>
      <c r="BC95" s="113"/>
      <c r="BD95" s="113"/>
      <c r="BE95" s="113"/>
      <c r="BF95" s="113"/>
    </row>
    <row r="96" spans="1:58">
      <c r="A96" s="39"/>
      <c r="B96" s="39"/>
      <c r="C96" s="39"/>
      <c r="D96" s="39"/>
      <c r="E96" s="39"/>
      <c r="F96" s="39"/>
      <c r="G96" s="39"/>
      <c r="H96" s="39"/>
      <c r="I96" s="39"/>
      <c r="J96" s="39"/>
      <c r="K96" s="39"/>
      <c r="L96" s="39"/>
      <c r="M96" s="39"/>
      <c r="N96" s="39"/>
      <c r="O96" s="39"/>
      <c r="P96" s="39"/>
      <c r="Q96" s="39"/>
      <c r="R96" s="39"/>
      <c r="S96" s="39"/>
      <c r="T96" s="39"/>
      <c r="U96" s="39"/>
      <c r="V96" s="113"/>
      <c r="W96" s="113"/>
      <c r="X96" s="113"/>
      <c r="Y96" s="113"/>
      <c r="Z96" s="113"/>
      <c r="AA96" s="113"/>
      <c r="AB96" s="113"/>
      <c r="AC96" s="113"/>
      <c r="AD96" s="113"/>
      <c r="AE96" s="113"/>
      <c r="AF96" s="113"/>
      <c r="AG96" s="113"/>
      <c r="AH96" s="113"/>
      <c r="AI96" s="113"/>
      <c r="AJ96" s="113"/>
      <c r="AK96" s="113"/>
      <c r="AL96" s="113"/>
      <c r="AM96" s="113"/>
      <c r="AN96" s="113"/>
      <c r="AO96" s="113"/>
      <c r="AP96" s="113"/>
      <c r="AQ96" s="113"/>
      <c r="AR96" s="113"/>
      <c r="AS96" s="113"/>
      <c r="AT96" s="113"/>
      <c r="AU96" s="113"/>
      <c r="AV96" s="113"/>
      <c r="AW96" s="113"/>
      <c r="AX96" s="113"/>
      <c r="AY96" s="113"/>
      <c r="AZ96" s="113"/>
      <c r="BA96" s="113"/>
      <c r="BB96" s="113"/>
      <c r="BC96" s="113"/>
      <c r="BD96" s="113"/>
      <c r="BE96" s="113"/>
      <c r="BF96" s="113"/>
    </row>
    <row r="97" spans="1:58">
      <c r="A97" s="39"/>
      <c r="B97" s="39"/>
      <c r="C97" s="39"/>
      <c r="D97" s="39"/>
      <c r="E97" s="39"/>
      <c r="F97" s="39"/>
      <c r="G97" s="39"/>
      <c r="H97" s="39"/>
      <c r="I97" s="39"/>
      <c r="J97" s="39"/>
      <c r="K97" s="39"/>
      <c r="L97" s="39"/>
      <c r="M97" s="39"/>
      <c r="N97" s="39"/>
      <c r="O97" s="39"/>
      <c r="P97" s="39"/>
      <c r="Q97" s="39"/>
      <c r="R97" s="39"/>
      <c r="S97" s="39"/>
      <c r="T97" s="39"/>
      <c r="U97" s="39"/>
      <c r="V97" s="113"/>
      <c r="W97" s="113"/>
      <c r="X97" s="113"/>
      <c r="Y97" s="113"/>
      <c r="Z97" s="113"/>
      <c r="AA97" s="113"/>
      <c r="AB97" s="113"/>
      <c r="AC97" s="113"/>
      <c r="AD97" s="113"/>
      <c r="AE97" s="113"/>
      <c r="AF97" s="113"/>
      <c r="AG97" s="113"/>
      <c r="AH97" s="113"/>
      <c r="AI97" s="113"/>
      <c r="AJ97" s="113"/>
      <c r="AK97" s="113"/>
      <c r="AL97" s="113"/>
      <c r="AM97" s="113"/>
      <c r="AN97" s="113"/>
      <c r="AO97" s="113"/>
      <c r="AP97" s="113"/>
      <c r="AQ97" s="113"/>
      <c r="AR97" s="113"/>
      <c r="AS97" s="113"/>
      <c r="AT97" s="113"/>
      <c r="AU97" s="113"/>
      <c r="AV97" s="113"/>
      <c r="AW97" s="113"/>
      <c r="AX97" s="113"/>
      <c r="AY97" s="113"/>
      <c r="AZ97" s="113"/>
      <c r="BA97" s="113"/>
      <c r="BB97" s="113"/>
      <c r="BC97" s="113"/>
      <c r="BD97" s="113"/>
      <c r="BE97" s="113"/>
      <c r="BF97" s="113"/>
    </row>
    <row r="98" spans="1:58">
      <c r="A98" s="39"/>
      <c r="B98" s="39"/>
      <c r="C98" s="39"/>
      <c r="D98" s="39"/>
      <c r="E98" s="39"/>
      <c r="F98" s="39"/>
      <c r="G98" s="39"/>
      <c r="H98" s="39"/>
      <c r="I98" s="39"/>
      <c r="J98" s="39"/>
      <c r="K98" s="39"/>
      <c r="L98" s="39"/>
      <c r="M98" s="39"/>
      <c r="N98" s="39"/>
      <c r="O98" s="39"/>
      <c r="P98" s="39"/>
      <c r="Q98" s="39"/>
      <c r="R98" s="39"/>
      <c r="S98" s="39"/>
      <c r="T98" s="39"/>
      <c r="U98" s="39"/>
      <c r="V98" s="113"/>
      <c r="W98" s="113"/>
      <c r="X98" s="113"/>
      <c r="Y98" s="113"/>
      <c r="Z98" s="113"/>
      <c r="AA98" s="113"/>
      <c r="AB98" s="113"/>
      <c r="AC98" s="113"/>
      <c r="AD98" s="113"/>
      <c r="AE98" s="113"/>
      <c r="AF98" s="113"/>
      <c r="AG98" s="113"/>
      <c r="AH98" s="113"/>
      <c r="AI98" s="113"/>
      <c r="AJ98" s="113"/>
      <c r="AK98" s="113"/>
      <c r="AL98" s="113"/>
      <c r="AM98" s="113"/>
      <c r="AN98" s="113"/>
      <c r="AO98" s="113"/>
      <c r="AP98" s="113"/>
      <c r="AQ98" s="113"/>
      <c r="AR98" s="113"/>
      <c r="AS98" s="113"/>
      <c r="AT98" s="113"/>
      <c r="AU98" s="113"/>
      <c r="AV98" s="113"/>
      <c r="AW98" s="113"/>
      <c r="AX98" s="113"/>
      <c r="AY98" s="113"/>
      <c r="AZ98" s="113"/>
      <c r="BA98" s="113"/>
      <c r="BB98" s="113"/>
      <c r="BC98" s="113"/>
      <c r="BD98" s="113"/>
      <c r="BE98" s="113"/>
      <c r="BF98" s="113"/>
    </row>
    <row r="99" spans="1:58">
      <c r="A99" s="39"/>
      <c r="B99" s="39"/>
      <c r="C99" s="39"/>
      <c r="D99" s="39"/>
      <c r="E99" s="39"/>
      <c r="F99" s="39"/>
      <c r="G99" s="39"/>
      <c r="H99" s="39"/>
      <c r="I99" s="39"/>
      <c r="J99" s="39"/>
      <c r="K99" s="39"/>
      <c r="L99" s="39"/>
      <c r="M99" s="39"/>
      <c r="N99" s="39"/>
      <c r="O99" s="39"/>
      <c r="P99" s="39"/>
      <c r="Q99" s="39"/>
      <c r="R99" s="39"/>
      <c r="S99" s="39"/>
      <c r="T99" s="39"/>
      <c r="U99" s="39"/>
      <c r="V99" s="113"/>
      <c r="W99" s="113"/>
      <c r="X99" s="113"/>
      <c r="Y99" s="113"/>
      <c r="Z99" s="113"/>
      <c r="AA99" s="113"/>
      <c r="AB99" s="113"/>
      <c r="AC99" s="113"/>
      <c r="AD99" s="113"/>
      <c r="AE99" s="113"/>
      <c r="AF99" s="113"/>
      <c r="AG99" s="113"/>
      <c r="AH99" s="113"/>
      <c r="AI99" s="113"/>
      <c r="AJ99" s="113"/>
      <c r="AK99" s="113"/>
      <c r="AL99" s="113"/>
      <c r="AM99" s="113"/>
      <c r="AN99" s="113"/>
      <c r="AO99" s="113"/>
      <c r="AP99" s="113"/>
      <c r="AQ99" s="113"/>
      <c r="AR99" s="113"/>
      <c r="AS99" s="113"/>
      <c r="AT99" s="113"/>
      <c r="AU99" s="113"/>
      <c r="AV99" s="113"/>
      <c r="AW99" s="113"/>
      <c r="AX99" s="113"/>
      <c r="AY99" s="113"/>
      <c r="AZ99" s="113"/>
      <c r="BA99" s="113"/>
      <c r="BB99" s="113"/>
      <c r="BC99" s="113"/>
      <c r="BD99" s="113"/>
      <c r="BE99" s="113"/>
      <c r="BF99" s="113"/>
    </row>
    <row r="100" spans="1:58">
      <c r="A100" s="39"/>
      <c r="B100" s="39"/>
      <c r="C100" s="39"/>
      <c r="D100" s="39"/>
      <c r="E100" s="39"/>
      <c r="F100" s="39"/>
      <c r="G100" s="39"/>
      <c r="H100" s="39"/>
      <c r="I100" s="39"/>
      <c r="J100" s="39"/>
      <c r="K100" s="39"/>
      <c r="L100" s="39"/>
      <c r="M100" s="39"/>
      <c r="N100" s="39"/>
      <c r="O100" s="39"/>
      <c r="P100" s="39"/>
      <c r="Q100" s="39"/>
      <c r="R100" s="39"/>
      <c r="S100" s="39"/>
      <c r="T100" s="39"/>
      <c r="U100" s="39"/>
      <c r="V100" s="113"/>
      <c r="W100" s="113"/>
      <c r="X100" s="113"/>
      <c r="Y100" s="113"/>
      <c r="Z100" s="113"/>
      <c r="AA100" s="113"/>
      <c r="AB100" s="113"/>
      <c r="AC100" s="113"/>
      <c r="AD100" s="113"/>
      <c r="AE100" s="113"/>
      <c r="AF100" s="113"/>
      <c r="AG100" s="113"/>
      <c r="AH100" s="113"/>
      <c r="AI100" s="113"/>
      <c r="AJ100" s="113"/>
      <c r="AK100" s="113"/>
      <c r="AL100" s="113"/>
      <c r="AM100" s="113"/>
      <c r="AN100" s="113"/>
      <c r="AO100" s="113"/>
      <c r="AP100" s="113"/>
      <c r="AQ100" s="113"/>
      <c r="AR100" s="113"/>
      <c r="AS100" s="113"/>
      <c r="AT100" s="113"/>
      <c r="AU100" s="113"/>
      <c r="AV100" s="113"/>
      <c r="AW100" s="113"/>
      <c r="AX100" s="113"/>
      <c r="AY100" s="113"/>
      <c r="AZ100" s="113"/>
      <c r="BA100" s="113"/>
      <c r="BB100" s="113"/>
      <c r="BC100" s="113"/>
      <c r="BD100" s="113"/>
      <c r="BE100" s="113"/>
      <c r="BF100" s="113"/>
    </row>
  </sheetData>
  <mergeCells count="4">
    <mergeCell ref="A1:C1"/>
    <mergeCell ref="D1:BF1"/>
    <mergeCell ref="A4:B4"/>
    <mergeCell ref="B2:R2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Colors"/>
  <dimension ref="A1:B33"/>
  <sheetViews>
    <sheetView showGridLines="0" showRowColHeaders="0" workbookViewId="0"/>
  </sheetViews>
  <sheetFormatPr defaultRowHeight="15"/>
  <cols>
    <col min="2" max="2" width="9.140625" customWidth="1"/>
  </cols>
  <sheetData>
    <row r="1" spans="1:2" ht="36.75" customHeight="1"/>
    <row r="2" spans="1:2">
      <c r="A2" s="460" t="s">
        <v>23</v>
      </c>
      <c r="B2" s="460"/>
    </row>
    <row r="3" spans="1:2">
      <c r="A3" t="s">
        <v>22</v>
      </c>
      <c r="B3" t="s">
        <v>8</v>
      </c>
    </row>
    <row r="4" spans="1:2">
      <c r="A4">
        <v>1</v>
      </c>
      <c r="B4" s="31"/>
    </row>
    <row r="5" spans="1:2">
      <c r="A5">
        <v>2</v>
      </c>
      <c r="B5" s="4"/>
    </row>
    <row r="6" spans="1:2">
      <c r="A6">
        <v>3</v>
      </c>
      <c r="B6" s="5"/>
    </row>
    <row r="7" spans="1:2">
      <c r="A7">
        <v>4</v>
      </c>
      <c r="B7" s="6"/>
    </row>
    <row r="8" spans="1:2">
      <c r="A8">
        <v>5</v>
      </c>
      <c r="B8" s="7"/>
    </row>
    <row r="9" spans="1:2">
      <c r="A9">
        <v>6</v>
      </c>
      <c r="B9" s="8"/>
    </row>
    <row r="10" spans="1:2">
      <c r="A10">
        <v>7</v>
      </c>
      <c r="B10" s="9"/>
    </row>
    <row r="11" spans="1:2">
      <c r="A11">
        <v>8</v>
      </c>
      <c r="B11" s="10"/>
    </row>
    <row r="12" spans="1:2">
      <c r="A12">
        <v>9</v>
      </c>
      <c r="B12" s="11"/>
    </row>
    <row r="13" spans="1:2">
      <c r="A13">
        <v>10</v>
      </c>
      <c r="B13" s="12"/>
    </row>
    <row r="14" spans="1:2">
      <c r="A14">
        <v>11</v>
      </c>
      <c r="B14" s="13"/>
    </row>
    <row r="15" spans="1:2">
      <c r="A15">
        <v>12</v>
      </c>
      <c r="B15" s="14"/>
    </row>
    <row r="16" spans="1:2">
      <c r="A16">
        <v>13</v>
      </c>
      <c r="B16" s="15"/>
    </row>
    <row r="17" spans="1:2">
      <c r="A17">
        <v>14</v>
      </c>
      <c r="B17" s="16"/>
    </row>
    <row r="18" spans="1:2">
      <c r="A18">
        <v>15</v>
      </c>
      <c r="B18" s="17"/>
    </row>
    <row r="19" spans="1:2">
      <c r="A19">
        <v>16</v>
      </c>
      <c r="B19" s="18"/>
    </row>
    <row r="20" spans="1:2">
      <c r="A20">
        <v>17</v>
      </c>
      <c r="B20" s="19"/>
    </row>
    <row r="21" spans="1:2">
      <c r="A21">
        <v>18</v>
      </c>
      <c r="B21" s="20"/>
    </row>
    <row r="22" spans="1:2">
      <c r="A22">
        <v>19</v>
      </c>
      <c r="B22" s="21"/>
    </row>
    <row r="23" spans="1:2">
      <c r="A23">
        <v>20</v>
      </c>
      <c r="B23" s="22"/>
    </row>
    <row r="24" spans="1:2">
      <c r="A24">
        <v>21</v>
      </c>
      <c r="B24" s="8"/>
    </row>
    <row r="25" spans="1:2">
      <c r="A25">
        <v>22</v>
      </c>
      <c r="B25" s="23"/>
    </row>
    <row r="26" spans="1:2">
      <c r="A26">
        <v>23</v>
      </c>
      <c r="B26" s="24"/>
    </row>
    <row r="27" spans="1:2">
      <c r="A27">
        <v>24</v>
      </c>
      <c r="B27" s="25"/>
    </row>
    <row r="28" spans="1:2">
      <c r="A28">
        <v>25</v>
      </c>
      <c r="B28" s="6"/>
    </row>
    <row r="29" spans="1:2">
      <c r="A29">
        <v>26</v>
      </c>
      <c r="B29" s="26"/>
    </row>
    <row r="30" spans="1:2">
      <c r="A30">
        <v>27</v>
      </c>
      <c r="B30" s="27"/>
    </row>
    <row r="31" spans="1:2">
      <c r="A31">
        <v>28</v>
      </c>
      <c r="B31" s="28"/>
    </row>
    <row r="32" spans="1:2">
      <c r="A32">
        <v>29</v>
      </c>
      <c r="B32" s="29"/>
    </row>
    <row r="33" spans="1:2">
      <c r="A33">
        <v>30</v>
      </c>
      <c r="B33" s="30"/>
    </row>
  </sheetData>
  <mergeCells count="1">
    <mergeCell ref="A2:B2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ummary"/>
  <dimension ref="A1:F13"/>
  <sheetViews>
    <sheetView showGridLines="0" showRowColHeaders="0" workbookViewId="0">
      <selection activeCell="B2" sqref="B2"/>
    </sheetView>
  </sheetViews>
  <sheetFormatPr defaultRowHeight="15"/>
  <cols>
    <col min="1" max="1" width="18.42578125" bestFit="1" customWidth="1"/>
    <col min="2" max="2" width="14.7109375" bestFit="1" customWidth="1"/>
    <col min="3" max="3" width="16.140625" bestFit="1" customWidth="1"/>
    <col min="4" max="4" width="18.5703125" bestFit="1" customWidth="1"/>
    <col min="5" max="5" width="18.5703125" customWidth="1"/>
    <col min="6" max="6" width="15" bestFit="1" customWidth="1"/>
    <col min="7" max="7" width="22.5703125" bestFit="1" customWidth="1"/>
    <col min="8" max="8" width="16.85546875" bestFit="1" customWidth="1"/>
    <col min="9" max="9" width="10.7109375" bestFit="1" customWidth="1"/>
    <col min="10" max="10" width="18.5703125" customWidth="1"/>
    <col min="11" max="11" width="12.85546875" bestFit="1" customWidth="1"/>
    <col min="12" max="12" width="12.85546875" customWidth="1"/>
    <col min="13" max="13" width="9.85546875" bestFit="1" customWidth="1"/>
    <col min="14" max="14" width="14.85546875" bestFit="1" customWidth="1"/>
  </cols>
  <sheetData>
    <row r="1" spans="1:6" ht="15.75" thickBot="1">
      <c r="A1" s="71" t="s">
        <v>79</v>
      </c>
      <c r="B1" s="71" t="s">
        <v>94</v>
      </c>
      <c r="C1" s="71" t="s">
        <v>80</v>
      </c>
      <c r="D1" s="71" t="s">
        <v>77</v>
      </c>
      <c r="E1" s="71" t="s">
        <v>78</v>
      </c>
      <c r="F1" s="71" t="s">
        <v>81</v>
      </c>
    </row>
    <row r="2" spans="1:6" ht="15.75" thickBot="1">
      <c r="A2" s="97" t="s">
        <v>74</v>
      </c>
      <c r="B2" s="98">
        <f>(C2/100)</f>
        <v>0</v>
      </c>
      <c r="C2" s="97">
        <v>0</v>
      </c>
      <c r="D2" s="97">
        <v>3</v>
      </c>
      <c r="E2" s="97">
        <f>SUM(tblVelocityParameters[SliceVelocity])-C2-D2</f>
        <v>197</v>
      </c>
      <c r="F2" s="97" t="str">
        <f>IF(C2&lt;=C9,A9,IF(C2&lt;=C10,A10,IF(C2&lt;=C11,A11,IF(C2&gt;C11,A12))))</f>
        <v>Ruim</v>
      </c>
    </row>
    <row r="3" spans="1:6" ht="15.75" thickBot="1">
      <c r="A3" s="89" t="s">
        <v>73</v>
      </c>
      <c r="B3" s="99">
        <f>C3/100</f>
        <v>0</v>
      </c>
      <c r="C3" s="89">
        <v>0</v>
      </c>
      <c r="D3" s="89">
        <v>3</v>
      </c>
      <c r="E3" s="89">
        <f>SUM(tblVelocityParameters[SliceVelocity])-C3-D3</f>
        <v>197</v>
      </c>
      <c r="F3" s="89" t="str">
        <f>IF(C3&lt;=C9,A9,IF(C3&lt;=C10,A10,IF(C3&lt;=C11,A11,IF(C3&gt;C11,A12))))</f>
        <v>Ruim</v>
      </c>
    </row>
    <row r="8" spans="1:6">
      <c r="A8" t="s">
        <v>71</v>
      </c>
      <c r="B8" t="s">
        <v>72</v>
      </c>
      <c r="C8" t="s">
        <v>76</v>
      </c>
    </row>
    <row r="9" spans="1:6">
      <c r="A9" s="70" t="s">
        <v>67</v>
      </c>
      <c r="B9">
        <v>50</v>
      </c>
      <c r="C9">
        <f>tblVelocityParameters[[#This Row],[SliceVelocity]]</f>
        <v>50</v>
      </c>
    </row>
    <row r="10" spans="1:6">
      <c r="A10" s="69" t="s">
        <v>68</v>
      </c>
      <c r="B10">
        <v>25</v>
      </c>
      <c r="C10">
        <f>C9+tblVelocityParameters[[#This Row],[SliceVelocity]]</f>
        <v>75</v>
      </c>
      <c r="F10" s="1"/>
    </row>
    <row r="11" spans="1:6">
      <c r="A11" s="70" t="s">
        <v>69</v>
      </c>
      <c r="B11">
        <v>15</v>
      </c>
      <c r="C11">
        <f>C10+tblVelocityParameters[[#This Row],[SliceVelocity]]</f>
        <v>90</v>
      </c>
      <c r="F11" s="1"/>
    </row>
    <row r="12" spans="1:6">
      <c r="A12" s="69" t="s">
        <v>70</v>
      </c>
      <c r="B12">
        <v>10</v>
      </c>
      <c r="C12">
        <f>C11+tblVelocityParameters[[#This Row],[SliceVelocity]]</f>
        <v>100</v>
      </c>
      <c r="F12" s="1"/>
    </row>
    <row r="13" spans="1:6">
      <c r="A13" t="s">
        <v>63</v>
      </c>
      <c r="B13">
        <f>SUM(B9:B12)</f>
        <v>100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ashboard">
    <tabColor theme="0"/>
    <pageSetUpPr autoPageBreaks="0"/>
  </sheetPr>
  <dimension ref="A1:AG40"/>
  <sheetViews>
    <sheetView showGridLines="0" showRowColHeaders="0" zoomScale="70" zoomScaleNormal="70" zoomScaleSheetLayoutView="85" workbookViewId="0"/>
  </sheetViews>
  <sheetFormatPr defaultRowHeight="15"/>
  <cols>
    <col min="10" max="10" width="9.140625" customWidth="1"/>
    <col min="15" max="15" width="9.140625" customWidth="1"/>
    <col min="20" max="20" width="9.140625" customWidth="1"/>
    <col min="23" max="23" width="9.140625" customWidth="1"/>
  </cols>
  <sheetData>
    <row r="1" spans="1:33" ht="54" customHeight="1"/>
    <row r="2" spans="1:33" ht="27" customHeight="1">
      <c r="A2" s="65"/>
      <c r="B2" s="65"/>
      <c r="C2" s="65"/>
      <c r="D2" s="65"/>
      <c r="E2" s="65"/>
      <c r="F2" s="65"/>
      <c r="G2" s="65"/>
      <c r="H2" s="65"/>
      <c r="I2" s="462"/>
      <c r="J2" s="462"/>
      <c r="K2" s="462"/>
      <c r="L2" s="462"/>
      <c r="N2" s="461"/>
      <c r="O2" s="461"/>
      <c r="P2" s="461"/>
      <c r="Q2" s="461"/>
      <c r="S2" s="463"/>
      <c r="T2" s="463"/>
      <c r="U2" s="463"/>
      <c r="V2" s="463"/>
      <c r="X2" s="464"/>
      <c r="Y2" s="464"/>
      <c r="Z2" s="464"/>
      <c r="AA2" s="464"/>
      <c r="AB2" s="65"/>
      <c r="AC2" s="65"/>
      <c r="AD2" s="65"/>
      <c r="AE2" s="65"/>
      <c r="AF2" s="65"/>
      <c r="AG2" s="65"/>
    </row>
    <row r="3" spans="1:33" ht="45" customHeight="1">
      <c r="A3" s="65"/>
      <c r="B3" s="65"/>
      <c r="C3" s="65"/>
      <c r="D3" s="65"/>
      <c r="E3" s="65"/>
      <c r="F3" s="65"/>
      <c r="G3" s="65"/>
      <c r="H3" s="65"/>
      <c r="I3" s="72"/>
      <c r="J3" s="72"/>
      <c r="K3" s="72"/>
      <c r="L3" s="72"/>
      <c r="M3" s="68"/>
      <c r="N3" s="73"/>
      <c r="O3" s="73"/>
      <c r="P3" s="73"/>
      <c r="Q3" s="73"/>
      <c r="R3" s="68"/>
      <c r="S3" s="68"/>
      <c r="T3" s="68"/>
      <c r="U3" s="68"/>
      <c r="V3" s="68"/>
      <c r="W3" s="74"/>
      <c r="X3" s="74"/>
      <c r="Y3" s="74"/>
      <c r="Z3" s="74"/>
      <c r="AA3" s="65"/>
      <c r="AB3" s="65"/>
      <c r="AC3" s="65"/>
      <c r="AD3" s="65"/>
      <c r="AE3" s="65"/>
      <c r="AF3" s="65"/>
      <c r="AG3" s="65"/>
    </row>
    <row r="4" spans="1:33" ht="15" customHeight="1">
      <c r="A4" s="66"/>
      <c r="B4" s="66"/>
      <c r="C4" s="66"/>
      <c r="D4" s="66"/>
      <c r="E4" s="66"/>
      <c r="F4" s="66"/>
      <c r="G4" s="66"/>
      <c r="H4" s="66"/>
      <c r="I4" s="66"/>
      <c r="J4" s="66"/>
      <c r="K4" s="66"/>
      <c r="L4" s="66"/>
      <c r="M4" s="66"/>
      <c r="N4" s="66"/>
      <c r="O4" s="66"/>
      <c r="P4" s="66"/>
      <c r="Q4" s="66"/>
      <c r="R4" s="66"/>
      <c r="S4" s="66"/>
      <c r="T4" s="66"/>
      <c r="U4" s="66"/>
      <c r="V4" s="66"/>
      <c r="W4" s="66"/>
      <c r="X4" s="66"/>
      <c r="Y4" s="66"/>
      <c r="Z4" s="66"/>
      <c r="AA4" s="66"/>
      <c r="AB4" s="66"/>
      <c r="AC4" s="66"/>
      <c r="AD4" s="66"/>
      <c r="AE4" s="66"/>
      <c r="AF4" s="66"/>
      <c r="AG4" s="66"/>
    </row>
    <row r="5" spans="1:33">
      <c r="A5" s="66"/>
      <c r="B5" s="66"/>
      <c r="C5" s="66"/>
      <c r="D5" s="66"/>
      <c r="E5" s="66"/>
      <c r="F5" s="66"/>
      <c r="G5" s="66"/>
      <c r="H5" s="66"/>
      <c r="I5" s="66"/>
      <c r="J5" s="66"/>
      <c r="K5" s="66"/>
      <c r="L5" s="66"/>
      <c r="M5" s="66"/>
      <c r="N5" s="66"/>
      <c r="O5" s="66"/>
      <c r="P5" s="66"/>
      <c r="Q5" s="66"/>
      <c r="R5" s="66"/>
      <c r="S5" s="66"/>
      <c r="T5" s="66"/>
      <c r="U5" s="66"/>
      <c r="V5" s="66"/>
      <c r="W5" s="66"/>
      <c r="X5" s="66"/>
      <c r="Y5" s="66"/>
      <c r="Z5" s="66"/>
      <c r="AA5" s="66"/>
      <c r="AB5" s="66"/>
      <c r="AC5" s="66"/>
      <c r="AD5" s="66"/>
      <c r="AE5" s="66"/>
      <c r="AF5" s="66"/>
      <c r="AG5" s="66"/>
    </row>
    <row r="6" spans="1:33">
      <c r="A6" s="66"/>
      <c r="B6" s="66"/>
      <c r="C6" s="66"/>
      <c r="D6" s="66"/>
      <c r="E6" s="66"/>
      <c r="F6" s="66"/>
      <c r="G6" s="66"/>
      <c r="H6" s="66"/>
      <c r="I6" s="66"/>
      <c r="J6" s="66"/>
      <c r="K6" s="66"/>
      <c r="L6" s="66"/>
      <c r="M6" s="66"/>
      <c r="N6" s="66"/>
      <c r="O6" s="66"/>
      <c r="P6" s="66"/>
      <c r="Q6" s="66"/>
      <c r="R6" s="66"/>
      <c r="S6" s="66"/>
      <c r="T6" s="66"/>
      <c r="U6" s="66"/>
      <c r="V6" s="66"/>
      <c r="W6" s="66"/>
      <c r="X6" s="66"/>
      <c r="Y6" s="66"/>
      <c r="Z6" s="66"/>
      <c r="AA6" s="66"/>
      <c r="AB6" s="66"/>
      <c r="AC6" s="66"/>
      <c r="AD6" s="66"/>
      <c r="AE6" s="66"/>
      <c r="AF6" s="66"/>
      <c r="AG6" s="66"/>
    </row>
    <row r="7" spans="1:33">
      <c r="A7" s="66"/>
      <c r="B7" s="66"/>
      <c r="C7" s="66"/>
      <c r="D7" s="66"/>
      <c r="E7" s="66"/>
      <c r="F7" s="66"/>
      <c r="G7" s="66"/>
      <c r="H7" s="66"/>
      <c r="I7" s="66"/>
      <c r="J7" s="66"/>
      <c r="K7" s="66"/>
      <c r="L7" s="66"/>
      <c r="M7" s="66"/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6"/>
      <c r="Z7" s="66"/>
      <c r="AA7" s="66"/>
      <c r="AB7" s="66"/>
      <c r="AC7" s="66"/>
      <c r="AD7" s="66"/>
      <c r="AE7" s="66"/>
      <c r="AF7" s="66"/>
      <c r="AG7" s="66"/>
    </row>
    <row r="8" spans="1:33">
      <c r="A8" s="66"/>
      <c r="B8" s="66"/>
      <c r="C8" s="66"/>
      <c r="D8" s="66"/>
      <c r="E8" s="66"/>
      <c r="F8" s="66"/>
      <c r="G8" s="66"/>
      <c r="H8" s="66"/>
      <c r="I8" s="66"/>
      <c r="J8" s="66"/>
      <c r="K8" s="66"/>
      <c r="L8" s="66"/>
      <c r="M8" s="66"/>
      <c r="N8" s="66"/>
      <c r="O8" s="66"/>
      <c r="P8" s="66"/>
      <c r="Q8" s="66"/>
      <c r="R8" s="66"/>
      <c r="S8" s="66"/>
      <c r="T8" s="66"/>
      <c r="U8" s="66"/>
      <c r="V8" s="66"/>
      <c r="W8" s="66"/>
      <c r="X8" s="66"/>
      <c r="Y8" s="66"/>
      <c r="Z8" s="66"/>
      <c r="AA8" s="66"/>
      <c r="AB8" s="66"/>
      <c r="AC8" s="66"/>
      <c r="AD8" s="66"/>
      <c r="AE8" s="66"/>
      <c r="AF8" s="66"/>
      <c r="AG8" s="66"/>
    </row>
    <row r="9" spans="1:33">
      <c r="A9" s="67" t="s">
        <v>66</v>
      </c>
      <c r="B9" s="66"/>
      <c r="C9" s="66"/>
      <c r="D9" s="66"/>
      <c r="E9" s="66"/>
      <c r="F9" s="66"/>
      <c r="G9" s="66"/>
      <c r="H9" s="66"/>
      <c r="I9" s="66"/>
      <c r="J9" s="66"/>
      <c r="K9" s="66"/>
      <c r="L9" s="66"/>
      <c r="M9" s="66"/>
      <c r="N9" s="66"/>
      <c r="O9" s="66"/>
      <c r="P9" s="66"/>
      <c r="Q9" s="66"/>
      <c r="R9" s="66"/>
      <c r="S9" s="66"/>
      <c r="T9" s="66"/>
      <c r="U9" s="66"/>
      <c r="V9" s="66"/>
      <c r="W9" s="66"/>
      <c r="X9" s="66"/>
      <c r="Y9" s="66"/>
      <c r="Z9" s="66"/>
      <c r="AA9" s="66"/>
      <c r="AB9" s="66"/>
      <c r="AC9" s="66"/>
      <c r="AD9" s="66"/>
      <c r="AE9" s="66"/>
      <c r="AF9" s="66"/>
      <c r="AG9" s="66"/>
    </row>
    <row r="10" spans="1:33">
      <c r="A10" s="66"/>
      <c r="B10" s="66"/>
      <c r="C10" s="66"/>
      <c r="D10" s="66"/>
      <c r="E10" s="66"/>
      <c r="F10" s="66"/>
      <c r="G10" s="66"/>
      <c r="H10" s="66"/>
      <c r="I10" s="66"/>
      <c r="J10" s="66"/>
      <c r="K10" s="66"/>
      <c r="L10" s="66"/>
      <c r="M10" s="66"/>
      <c r="N10" s="66"/>
      <c r="O10" s="66"/>
      <c r="P10" s="66"/>
      <c r="Q10" s="66"/>
      <c r="R10" s="66"/>
      <c r="S10" s="66"/>
      <c r="T10" s="66"/>
      <c r="U10" s="66"/>
      <c r="V10" s="66"/>
      <c r="W10" s="66"/>
      <c r="X10" s="66"/>
      <c r="Y10" s="66"/>
      <c r="Z10" s="66"/>
      <c r="AA10" s="66"/>
      <c r="AB10" s="66"/>
      <c r="AC10" s="66"/>
      <c r="AD10" s="66"/>
      <c r="AE10" s="66"/>
      <c r="AF10" s="66"/>
      <c r="AG10" s="66"/>
    </row>
    <row r="11" spans="1:33">
      <c r="A11" s="66"/>
      <c r="B11" s="66"/>
      <c r="C11" s="66"/>
      <c r="D11" s="66"/>
      <c r="E11" s="66"/>
      <c r="F11" s="66"/>
      <c r="G11" s="66"/>
      <c r="H11" s="66"/>
      <c r="I11" s="66"/>
      <c r="J11" s="66"/>
      <c r="K11" s="66"/>
      <c r="L11" s="66"/>
      <c r="M11" s="66"/>
      <c r="N11" s="66"/>
      <c r="O11" s="66"/>
      <c r="P11" s="66"/>
      <c r="Q11" s="66"/>
      <c r="R11" s="66"/>
      <c r="S11" s="66"/>
      <c r="T11" s="66"/>
      <c r="U11" s="66"/>
      <c r="V11" s="66"/>
      <c r="W11" s="66"/>
      <c r="X11" s="66"/>
      <c r="Y11" s="66"/>
      <c r="Z11" s="66"/>
      <c r="AA11" s="66"/>
      <c r="AB11" s="66"/>
      <c r="AC11" s="66"/>
      <c r="AD11" s="66"/>
      <c r="AE11" s="66"/>
      <c r="AF11" s="66"/>
      <c r="AG11" s="66"/>
    </row>
    <row r="12" spans="1:33">
      <c r="A12" s="66"/>
      <c r="B12" s="66"/>
      <c r="C12" s="66"/>
      <c r="D12" s="66"/>
      <c r="E12" s="66"/>
      <c r="F12" s="66"/>
      <c r="G12" s="66"/>
      <c r="H12" s="66"/>
      <c r="I12" s="66"/>
      <c r="J12" s="66"/>
      <c r="K12" s="66"/>
      <c r="L12" s="66"/>
      <c r="M12" s="66"/>
      <c r="N12" s="66"/>
      <c r="O12" s="66"/>
      <c r="P12" s="66"/>
      <c r="Q12" s="66"/>
      <c r="R12" s="66"/>
      <c r="S12" s="66"/>
      <c r="T12" s="66"/>
      <c r="U12" s="66"/>
      <c r="V12" s="66"/>
      <c r="W12" s="66"/>
      <c r="X12" s="66"/>
      <c r="Y12" s="66"/>
      <c r="Z12" s="66"/>
      <c r="AA12" s="66"/>
      <c r="AB12" s="66"/>
      <c r="AC12" s="66"/>
      <c r="AD12" s="66"/>
      <c r="AE12" s="66"/>
      <c r="AF12" s="66"/>
      <c r="AG12" s="66"/>
    </row>
    <row r="13" spans="1:33">
      <c r="A13" s="66"/>
      <c r="B13" s="66"/>
      <c r="C13" s="66"/>
      <c r="D13" s="66"/>
      <c r="E13" s="66"/>
      <c r="F13" s="66"/>
      <c r="G13" s="66"/>
      <c r="H13" s="66"/>
      <c r="I13" s="66"/>
      <c r="J13" s="66"/>
      <c r="K13" s="66"/>
      <c r="L13" s="66"/>
      <c r="M13" s="66"/>
      <c r="N13" s="66"/>
      <c r="O13" s="66"/>
      <c r="P13" s="66"/>
      <c r="Q13" s="66"/>
      <c r="R13" s="66"/>
      <c r="S13" s="66"/>
      <c r="T13" s="66"/>
      <c r="U13" s="66"/>
      <c r="V13" s="66"/>
      <c r="W13" s="66"/>
      <c r="X13" s="66"/>
      <c r="Y13" s="66"/>
      <c r="Z13" s="66"/>
      <c r="AA13" s="66"/>
      <c r="AB13" s="66"/>
      <c r="AC13" s="66"/>
      <c r="AD13" s="66"/>
      <c r="AE13" s="66"/>
      <c r="AF13" s="66"/>
      <c r="AG13" s="66"/>
    </row>
    <row r="14" spans="1:33">
      <c r="A14" s="66"/>
      <c r="B14" s="66"/>
      <c r="C14" s="66"/>
      <c r="D14" s="66"/>
      <c r="E14" s="66"/>
      <c r="F14" s="66"/>
      <c r="G14" s="66"/>
      <c r="H14" s="66"/>
      <c r="I14" s="66"/>
      <c r="J14" s="66"/>
      <c r="K14" s="66"/>
      <c r="L14" s="66"/>
      <c r="M14" s="66"/>
      <c r="N14" s="66"/>
      <c r="O14" s="66"/>
      <c r="P14" s="66"/>
      <c r="Q14" s="66"/>
      <c r="R14" s="66"/>
      <c r="S14" s="66"/>
      <c r="T14" s="66"/>
      <c r="U14" s="66"/>
      <c r="V14" s="66"/>
      <c r="W14" s="66"/>
      <c r="X14" s="66"/>
      <c r="Y14" s="66"/>
      <c r="Z14" s="66"/>
      <c r="AA14" s="66"/>
      <c r="AB14" s="66"/>
      <c r="AC14" s="66"/>
      <c r="AD14" s="66"/>
      <c r="AE14" s="66"/>
      <c r="AF14" s="66"/>
      <c r="AG14" s="66"/>
    </row>
    <row r="15" spans="1:33">
      <c r="A15" s="66"/>
      <c r="B15" s="66"/>
      <c r="C15" s="66"/>
      <c r="D15" s="66"/>
      <c r="E15" s="66"/>
      <c r="F15" s="66"/>
      <c r="G15" s="66"/>
      <c r="H15" s="66"/>
      <c r="I15" s="66"/>
      <c r="J15" s="66"/>
      <c r="K15" s="66"/>
      <c r="L15" s="66"/>
      <c r="M15" s="66"/>
      <c r="N15" s="66"/>
      <c r="O15" s="66"/>
      <c r="P15" s="66"/>
      <c r="Q15" s="66"/>
      <c r="R15" s="66"/>
      <c r="S15" s="66"/>
      <c r="T15" s="66"/>
      <c r="U15" s="66"/>
      <c r="V15" s="66"/>
      <c r="W15" s="66"/>
      <c r="X15" s="66"/>
      <c r="Y15" s="66"/>
      <c r="Z15" s="66"/>
      <c r="AA15" s="66"/>
      <c r="AB15" s="66"/>
      <c r="AC15" s="66"/>
      <c r="AD15" s="66"/>
      <c r="AE15" s="66"/>
      <c r="AF15" s="66"/>
      <c r="AG15" s="66"/>
    </row>
    <row r="16" spans="1:33">
      <c r="A16" s="66"/>
      <c r="B16" s="66"/>
      <c r="C16" s="66"/>
      <c r="D16" s="66"/>
      <c r="E16" s="66"/>
      <c r="F16" s="66"/>
      <c r="G16" s="66"/>
      <c r="H16" s="66"/>
      <c r="I16" s="66"/>
      <c r="J16" s="66"/>
      <c r="K16" s="66"/>
      <c r="L16" s="66"/>
      <c r="M16" s="66"/>
      <c r="N16" s="66"/>
      <c r="O16" s="66"/>
      <c r="P16" s="66"/>
      <c r="Q16" s="66"/>
      <c r="R16" s="66"/>
      <c r="S16" s="66"/>
      <c r="T16" s="66"/>
      <c r="U16" s="66"/>
      <c r="V16" s="66"/>
      <c r="W16" s="66"/>
      <c r="X16" s="66"/>
      <c r="Y16" s="66"/>
      <c r="Z16" s="66"/>
      <c r="AA16" s="66"/>
      <c r="AB16" s="66"/>
      <c r="AC16" s="66"/>
      <c r="AD16" s="66"/>
      <c r="AE16" s="66"/>
      <c r="AF16" s="66"/>
      <c r="AG16" s="66"/>
    </row>
    <row r="17" spans="1:33">
      <c r="A17" s="66"/>
      <c r="B17" s="66"/>
      <c r="C17" s="66"/>
      <c r="D17" s="66"/>
      <c r="E17" s="66"/>
      <c r="F17" s="66"/>
      <c r="G17" s="66"/>
      <c r="H17" s="66"/>
      <c r="I17" s="66"/>
      <c r="J17" s="66"/>
      <c r="K17" s="66"/>
      <c r="L17" s="66"/>
      <c r="M17" s="66"/>
      <c r="N17" s="66"/>
      <c r="O17" s="66"/>
      <c r="P17" s="66"/>
      <c r="Q17" s="66"/>
      <c r="R17" s="66"/>
      <c r="S17" s="66"/>
      <c r="T17" s="66"/>
      <c r="U17" s="66"/>
      <c r="V17" s="66"/>
      <c r="W17" s="66"/>
      <c r="X17" s="66"/>
      <c r="Y17" s="66"/>
      <c r="Z17" s="66"/>
      <c r="AA17" s="66"/>
      <c r="AB17" s="66"/>
      <c r="AC17" s="66"/>
      <c r="AD17" s="66"/>
      <c r="AE17" s="66"/>
      <c r="AF17" s="66"/>
      <c r="AG17" s="66"/>
    </row>
    <row r="18" spans="1:33">
      <c r="A18" s="66"/>
      <c r="B18" s="66"/>
      <c r="C18" s="66"/>
      <c r="D18" s="66"/>
      <c r="E18" s="66"/>
      <c r="F18" s="66"/>
      <c r="G18" s="66"/>
      <c r="H18" s="66"/>
      <c r="I18" s="66"/>
      <c r="J18" s="66"/>
      <c r="K18" s="66"/>
      <c r="L18" s="66"/>
      <c r="M18" s="66" t="s">
        <v>65</v>
      </c>
      <c r="N18" s="66"/>
      <c r="O18" s="66"/>
      <c r="P18" s="66"/>
      <c r="Q18" s="66"/>
      <c r="R18" s="66"/>
      <c r="S18" s="66"/>
      <c r="T18" s="66"/>
      <c r="U18" s="66"/>
      <c r="V18" s="66"/>
      <c r="W18" s="66"/>
      <c r="X18" s="66"/>
      <c r="Y18" s="66"/>
      <c r="Z18" s="66"/>
      <c r="AA18" s="66"/>
      <c r="AB18" s="66"/>
      <c r="AC18" s="66"/>
      <c r="AD18" s="66"/>
      <c r="AE18" s="66"/>
      <c r="AF18" s="66"/>
      <c r="AG18" s="66"/>
    </row>
    <row r="19" spans="1:33">
      <c r="A19" s="66"/>
      <c r="B19" s="66"/>
      <c r="C19" s="66"/>
      <c r="D19" s="66"/>
      <c r="E19" s="66"/>
      <c r="F19" s="66"/>
      <c r="G19" s="66"/>
      <c r="H19" s="66"/>
      <c r="I19" s="66"/>
      <c r="J19" s="66"/>
      <c r="K19" s="66"/>
      <c r="L19" s="66"/>
      <c r="M19" s="66"/>
      <c r="N19" s="66"/>
      <c r="O19" s="66"/>
      <c r="P19" s="66"/>
      <c r="Q19" s="66"/>
      <c r="R19" s="66"/>
      <c r="S19" s="66"/>
      <c r="T19" s="66"/>
      <c r="U19" s="66"/>
      <c r="V19" s="66"/>
      <c r="W19" s="66"/>
      <c r="X19" s="66"/>
      <c r="Y19" s="66"/>
      <c r="Z19" s="66"/>
      <c r="AA19" s="66"/>
      <c r="AB19" s="66"/>
      <c r="AC19" s="66"/>
      <c r="AD19" s="66"/>
      <c r="AE19" s="66"/>
      <c r="AF19" s="66"/>
      <c r="AG19" s="66"/>
    </row>
    <row r="20" spans="1:33">
      <c r="A20" s="66"/>
      <c r="B20" s="66"/>
      <c r="C20" s="66"/>
      <c r="D20" s="66"/>
      <c r="E20" s="66"/>
      <c r="F20" s="66"/>
      <c r="G20" s="66"/>
      <c r="H20" s="66"/>
      <c r="I20" s="66"/>
      <c r="J20" s="66"/>
      <c r="K20" s="66"/>
      <c r="L20" s="66"/>
      <c r="M20" s="66"/>
      <c r="N20" s="66"/>
      <c r="O20" s="66"/>
      <c r="P20" s="66"/>
      <c r="Q20" s="66"/>
      <c r="R20" s="66"/>
      <c r="S20" s="66"/>
      <c r="T20" s="66"/>
      <c r="U20" s="66"/>
      <c r="V20" s="66"/>
      <c r="W20" s="66"/>
      <c r="X20" s="66"/>
      <c r="Y20" s="66"/>
      <c r="Z20" s="66"/>
      <c r="AA20" s="66"/>
      <c r="AB20" s="66"/>
      <c r="AC20" s="66"/>
      <c r="AD20" s="66"/>
      <c r="AE20" s="66"/>
      <c r="AF20" s="66"/>
      <c r="AG20" s="66"/>
    </row>
    <row r="21" spans="1:33">
      <c r="A21" s="66"/>
      <c r="B21" s="66"/>
      <c r="C21" s="66"/>
      <c r="D21" s="66"/>
      <c r="E21" s="66"/>
      <c r="F21" s="66"/>
      <c r="G21" s="66"/>
      <c r="H21" s="66"/>
      <c r="I21" s="66"/>
      <c r="J21" s="66"/>
      <c r="K21" s="66"/>
      <c r="L21" s="66"/>
      <c r="M21" s="66"/>
      <c r="N21" s="66"/>
      <c r="O21" s="66"/>
      <c r="P21" s="66"/>
      <c r="Q21" s="66"/>
      <c r="R21" s="66"/>
      <c r="S21" s="66"/>
      <c r="T21" s="66"/>
      <c r="U21" s="66"/>
      <c r="V21" s="66"/>
      <c r="W21" s="66"/>
      <c r="X21" s="66"/>
      <c r="Y21" s="66"/>
      <c r="Z21" s="66"/>
      <c r="AA21" s="66"/>
      <c r="AB21" s="66"/>
      <c r="AC21" s="66"/>
      <c r="AD21" s="66"/>
      <c r="AE21" s="66"/>
      <c r="AF21" s="66"/>
      <c r="AG21" s="66"/>
    </row>
    <row r="22" spans="1:33">
      <c r="A22" s="66"/>
      <c r="B22" s="66"/>
      <c r="C22" s="66"/>
      <c r="D22" s="66"/>
      <c r="E22" s="66"/>
      <c r="F22" s="66"/>
      <c r="G22" s="66"/>
      <c r="H22" s="66"/>
      <c r="I22" s="66"/>
      <c r="J22" s="66"/>
      <c r="K22" s="66"/>
      <c r="L22" s="66"/>
      <c r="M22" s="66"/>
      <c r="N22" s="66"/>
      <c r="O22" s="66"/>
      <c r="P22" s="66"/>
      <c r="Q22" s="66"/>
      <c r="R22" s="66"/>
      <c r="S22" s="66"/>
      <c r="T22" s="66"/>
      <c r="U22" s="66"/>
      <c r="V22" s="66"/>
      <c r="W22" s="66"/>
      <c r="X22" s="66"/>
      <c r="Y22" s="66"/>
      <c r="Z22" s="66"/>
      <c r="AA22" s="66"/>
      <c r="AB22" s="66"/>
      <c r="AC22" s="66"/>
      <c r="AD22" s="66"/>
      <c r="AE22" s="66"/>
      <c r="AF22" s="66"/>
      <c r="AG22" s="66"/>
    </row>
    <row r="23" spans="1:33">
      <c r="A23" s="66"/>
      <c r="B23" s="66"/>
      <c r="C23" s="66"/>
      <c r="D23" s="66"/>
      <c r="E23" s="66"/>
      <c r="F23" s="66"/>
      <c r="G23" s="66"/>
      <c r="H23" s="66"/>
      <c r="I23" s="66"/>
      <c r="J23" s="66"/>
      <c r="K23" s="66"/>
      <c r="L23" s="66"/>
      <c r="M23" s="66"/>
      <c r="N23" s="66"/>
      <c r="O23" s="66"/>
      <c r="P23" s="66"/>
      <c r="Q23" s="66"/>
      <c r="R23" s="66"/>
      <c r="S23" s="66"/>
      <c r="T23" s="66"/>
      <c r="U23" s="66"/>
      <c r="V23" s="66"/>
      <c r="W23" s="66"/>
      <c r="X23" s="66"/>
      <c r="Y23" s="66"/>
      <c r="Z23" s="66"/>
      <c r="AA23" s="66"/>
      <c r="AB23" s="66"/>
      <c r="AC23" s="66"/>
      <c r="AD23" s="66"/>
      <c r="AE23" s="66"/>
      <c r="AF23" s="66"/>
      <c r="AG23" s="66"/>
    </row>
    <row r="24" spans="1:33">
      <c r="A24" s="66"/>
      <c r="B24" s="66"/>
      <c r="C24" s="66"/>
      <c r="D24" s="66"/>
      <c r="E24" s="66"/>
      <c r="F24" s="66"/>
      <c r="G24" s="66"/>
      <c r="H24" s="66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6"/>
      <c r="U24" s="66"/>
      <c r="V24" s="66"/>
      <c r="W24" s="66"/>
      <c r="X24" s="66"/>
      <c r="Y24" s="66"/>
      <c r="Z24" s="66"/>
      <c r="AA24" s="66"/>
      <c r="AB24" s="66"/>
      <c r="AC24" s="66"/>
      <c r="AD24" s="66"/>
      <c r="AE24" s="66"/>
      <c r="AF24" s="66"/>
      <c r="AG24" s="66"/>
    </row>
    <row r="25" spans="1:33">
      <c r="A25" s="66"/>
      <c r="B25" s="66"/>
      <c r="C25" s="66"/>
      <c r="D25" s="66"/>
      <c r="E25" s="66"/>
      <c r="F25" s="66"/>
      <c r="G25" s="66"/>
      <c r="H25" s="66"/>
      <c r="I25" s="66"/>
      <c r="J25" s="66"/>
      <c r="K25" s="66"/>
      <c r="L25" s="66"/>
      <c r="M25" s="66"/>
      <c r="N25" s="66"/>
      <c r="O25" s="66"/>
      <c r="P25" s="66"/>
      <c r="Q25" s="66"/>
      <c r="R25" s="66"/>
      <c r="S25" s="66"/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66"/>
      <c r="AE25" s="66"/>
      <c r="AF25" s="66"/>
      <c r="AG25" s="66"/>
    </row>
    <row r="26" spans="1:33">
      <c r="A26" s="66"/>
      <c r="B26" s="66"/>
      <c r="C26" s="66"/>
      <c r="D26" s="66"/>
      <c r="E26" s="66"/>
      <c r="F26" s="66"/>
      <c r="G26" s="66"/>
      <c r="H26" s="66"/>
      <c r="I26" s="66"/>
      <c r="J26" s="66"/>
      <c r="K26" s="66"/>
      <c r="L26" s="66"/>
      <c r="M26" s="66"/>
      <c r="N26" s="66"/>
      <c r="O26" s="66"/>
      <c r="P26" s="66"/>
      <c r="Q26" s="66"/>
      <c r="R26" s="66"/>
      <c r="S26" s="66"/>
      <c r="T26" s="66"/>
      <c r="U26" s="66"/>
      <c r="V26" s="66"/>
      <c r="W26" s="66"/>
      <c r="X26" s="66"/>
      <c r="Y26" s="66"/>
      <c r="Z26" s="66"/>
      <c r="AA26" s="66"/>
      <c r="AB26" s="66"/>
      <c r="AC26" s="66"/>
      <c r="AD26" s="66"/>
      <c r="AE26" s="66"/>
      <c r="AF26" s="66"/>
      <c r="AG26" s="66"/>
    </row>
    <row r="27" spans="1:33">
      <c r="A27" s="66"/>
      <c r="B27" s="66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96"/>
      <c r="R27" s="66"/>
      <c r="S27" s="66"/>
      <c r="T27" s="66"/>
      <c r="U27" s="66"/>
      <c r="V27" s="66"/>
      <c r="W27" s="66"/>
      <c r="X27" s="66"/>
      <c r="Y27" s="66"/>
      <c r="Z27" s="66"/>
      <c r="AA27" s="66"/>
      <c r="AB27" s="66"/>
      <c r="AC27" s="66"/>
      <c r="AD27" s="66"/>
      <c r="AE27" s="66"/>
      <c r="AF27" s="66"/>
      <c r="AG27" s="66"/>
    </row>
    <row r="28" spans="1:33">
      <c r="A28" s="66"/>
      <c r="B28" s="66"/>
      <c r="C28" s="66"/>
      <c r="D28" s="66"/>
      <c r="E28" s="66"/>
      <c r="F28" s="66"/>
      <c r="G28" s="66"/>
      <c r="H28" s="66"/>
      <c r="I28" s="66"/>
      <c r="J28" s="66"/>
      <c r="K28" s="66"/>
      <c r="L28" s="66"/>
      <c r="M28" s="66"/>
      <c r="N28" s="66"/>
      <c r="O28" s="66"/>
      <c r="P28" s="66"/>
      <c r="Q28" s="66"/>
      <c r="R28" s="66"/>
      <c r="S28" s="66"/>
      <c r="T28" s="66"/>
      <c r="U28" s="66"/>
      <c r="V28" s="66"/>
      <c r="W28" s="66"/>
      <c r="X28" s="66"/>
      <c r="Y28" s="66"/>
      <c r="Z28" s="66"/>
      <c r="AA28" s="66"/>
      <c r="AB28" s="66"/>
      <c r="AC28" s="66"/>
      <c r="AD28" s="66"/>
      <c r="AE28" s="66"/>
      <c r="AF28" s="66"/>
      <c r="AG28" s="66"/>
    </row>
    <row r="29" spans="1:33">
      <c r="A29" s="66"/>
      <c r="B29" s="66"/>
      <c r="C29" s="66"/>
      <c r="D29" s="66"/>
      <c r="E29" s="66"/>
      <c r="F29" s="66"/>
      <c r="G29" s="66"/>
      <c r="H29" s="66"/>
      <c r="I29" s="66"/>
      <c r="J29" s="66"/>
      <c r="K29" s="66"/>
      <c r="L29" s="66"/>
      <c r="M29" s="66"/>
      <c r="N29" s="66"/>
      <c r="O29" s="66"/>
      <c r="P29" s="66"/>
      <c r="Q29" s="66"/>
      <c r="R29" s="66"/>
      <c r="S29" s="66"/>
      <c r="T29" s="66"/>
      <c r="U29" s="66"/>
      <c r="V29" s="66"/>
      <c r="W29" s="66"/>
      <c r="X29" s="66"/>
      <c r="Y29" s="66"/>
      <c r="Z29" s="66"/>
      <c r="AA29" s="66"/>
      <c r="AB29" s="66"/>
      <c r="AC29" s="66"/>
      <c r="AD29" s="66"/>
      <c r="AE29" s="66"/>
      <c r="AF29" s="66"/>
      <c r="AG29" s="66"/>
    </row>
    <row r="30" spans="1:33">
      <c r="A30" s="66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66"/>
      <c r="AB30" s="66"/>
      <c r="AC30" s="66"/>
      <c r="AD30" s="66"/>
      <c r="AE30" s="66"/>
      <c r="AF30" s="66"/>
      <c r="AG30" s="66"/>
    </row>
    <row r="31" spans="1:33">
      <c r="A31" s="66"/>
      <c r="B31" s="66"/>
      <c r="C31" s="66"/>
      <c r="D31" s="66"/>
      <c r="E31" s="66"/>
      <c r="F31" s="66"/>
      <c r="G31" s="66"/>
      <c r="H31" s="66"/>
      <c r="I31" s="66"/>
      <c r="J31" s="66"/>
      <c r="K31" s="66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66"/>
      <c r="AB31" s="66"/>
      <c r="AC31" s="66"/>
      <c r="AD31" s="66"/>
      <c r="AE31" s="66"/>
      <c r="AF31" s="66"/>
      <c r="AG31" s="66"/>
    </row>
    <row r="32" spans="1:33">
      <c r="A32" s="66"/>
      <c r="B32" s="66"/>
      <c r="C32" s="66"/>
      <c r="D32" s="66"/>
      <c r="E32" s="66"/>
      <c r="F32" s="66"/>
      <c r="G32" s="66"/>
      <c r="H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66"/>
      <c r="AC32" s="66"/>
      <c r="AD32" s="66"/>
      <c r="AE32" s="66"/>
      <c r="AF32" s="66"/>
      <c r="AG32" s="66"/>
    </row>
    <row r="33" spans="1:33">
      <c r="A33" s="66"/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  <c r="N33" s="66"/>
      <c r="O33" s="66"/>
      <c r="P33" s="66"/>
      <c r="Q33" s="66"/>
      <c r="R33" s="66"/>
      <c r="S33" s="66"/>
      <c r="T33" s="66"/>
      <c r="U33" s="66"/>
      <c r="V33" s="66"/>
      <c r="W33" s="66"/>
      <c r="X33" s="66"/>
      <c r="Y33" s="66"/>
      <c r="Z33" s="66"/>
      <c r="AA33" s="66"/>
      <c r="AB33" s="66"/>
      <c r="AC33" s="66"/>
      <c r="AD33" s="66"/>
      <c r="AE33" s="66"/>
      <c r="AF33" s="66"/>
      <c r="AG33" s="66"/>
    </row>
    <row r="34" spans="1:33">
      <c r="A34" s="66"/>
      <c r="B34" s="66"/>
      <c r="C34" s="66"/>
      <c r="D34" s="66"/>
      <c r="E34" s="66"/>
      <c r="F34" s="66"/>
      <c r="G34" s="66"/>
      <c r="H34" s="66"/>
      <c r="I34" s="66"/>
      <c r="J34" s="66"/>
      <c r="K34" s="66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66"/>
      <c r="AB34" s="66"/>
      <c r="AC34" s="66"/>
      <c r="AD34" s="66"/>
      <c r="AE34" s="66"/>
      <c r="AF34" s="66"/>
      <c r="AG34" s="66"/>
    </row>
    <row r="35" spans="1:33">
      <c r="A35" s="66"/>
      <c r="B35" s="66"/>
      <c r="C35" s="66"/>
      <c r="D35" s="66"/>
      <c r="E35" s="66"/>
      <c r="F35" s="66"/>
      <c r="G35" s="66"/>
      <c r="H35" s="66"/>
      <c r="I35" s="66"/>
      <c r="J35" s="66"/>
      <c r="K35" s="66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66"/>
      <c r="AB35" s="66"/>
      <c r="AC35" s="66"/>
      <c r="AD35" s="66"/>
      <c r="AE35" s="66"/>
      <c r="AF35" s="66"/>
      <c r="AG35" s="66"/>
    </row>
    <row r="36" spans="1:33">
      <c r="A36" s="66"/>
      <c r="B36" s="66"/>
      <c r="C36" s="66"/>
      <c r="D36" s="66"/>
      <c r="E36" s="66"/>
      <c r="F36" s="66"/>
      <c r="G36" s="66"/>
      <c r="H36" s="66"/>
      <c r="I36" s="66"/>
      <c r="J36" s="66"/>
      <c r="K36" s="66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66"/>
      <c r="AB36" s="66"/>
      <c r="AC36" s="66"/>
      <c r="AD36" s="66"/>
      <c r="AE36" s="66"/>
      <c r="AF36" s="66"/>
      <c r="AG36" s="66"/>
    </row>
    <row r="37" spans="1:33">
      <c r="A37" s="66"/>
      <c r="B37" s="66"/>
      <c r="C37" s="66"/>
      <c r="D37" s="66"/>
      <c r="E37" s="66"/>
      <c r="F37" s="66"/>
      <c r="G37" s="66"/>
      <c r="H37" s="66"/>
      <c r="I37" s="66"/>
      <c r="J37" s="66"/>
      <c r="K37" s="66"/>
      <c r="L37" s="66"/>
      <c r="M37" s="66"/>
      <c r="N37" s="66"/>
      <c r="O37" s="66"/>
      <c r="P37" s="66"/>
      <c r="Q37" s="66"/>
      <c r="R37" s="66"/>
      <c r="S37" s="66"/>
      <c r="T37" s="66"/>
      <c r="U37" s="66"/>
      <c r="V37" s="66"/>
      <c r="W37" s="66"/>
      <c r="X37" s="66"/>
      <c r="Y37" s="66"/>
      <c r="Z37" s="66"/>
      <c r="AA37" s="66"/>
      <c r="AB37" s="66"/>
      <c r="AC37" s="66"/>
      <c r="AD37" s="66"/>
      <c r="AE37" s="66"/>
      <c r="AF37" s="66"/>
      <c r="AG37" s="66"/>
    </row>
    <row r="38" spans="1:33">
      <c r="A38" s="66"/>
      <c r="B38" s="66"/>
      <c r="C38" s="66"/>
      <c r="D38" s="66"/>
      <c r="E38" s="66"/>
      <c r="F38" s="66"/>
      <c r="G38" s="66"/>
      <c r="H38" s="66"/>
      <c r="I38" s="66"/>
      <c r="J38" s="66"/>
      <c r="K38" s="66"/>
      <c r="L38" s="66"/>
      <c r="M38" s="66"/>
      <c r="N38" s="66"/>
      <c r="O38" s="66"/>
      <c r="P38" s="66"/>
      <c r="Q38" s="66"/>
      <c r="R38" s="66"/>
      <c r="S38" s="66"/>
      <c r="T38" s="66"/>
      <c r="U38" s="66"/>
      <c r="V38" s="66"/>
      <c r="W38" s="66"/>
      <c r="X38" s="66"/>
      <c r="Y38" s="66"/>
      <c r="Z38" s="66"/>
      <c r="AA38" s="66"/>
      <c r="AB38" s="66"/>
      <c r="AC38" s="66"/>
      <c r="AD38" s="66"/>
      <c r="AE38" s="66"/>
      <c r="AF38" s="66"/>
      <c r="AG38" s="66"/>
    </row>
    <row r="39" spans="1:33">
      <c r="A39" s="66"/>
      <c r="B39" s="66"/>
      <c r="C39" s="66"/>
      <c r="D39" s="66"/>
      <c r="E39" s="66"/>
      <c r="F39" s="66"/>
      <c r="G39" s="66"/>
      <c r="H39" s="66"/>
      <c r="I39" s="66"/>
      <c r="J39" s="66"/>
      <c r="K39" s="66"/>
      <c r="L39" s="66"/>
      <c r="M39" s="66"/>
      <c r="N39" s="66"/>
      <c r="O39" s="66"/>
      <c r="P39" s="66"/>
      <c r="Q39" s="66"/>
      <c r="R39" s="66"/>
      <c r="S39" s="66"/>
      <c r="T39" s="66"/>
      <c r="U39" s="66"/>
      <c r="V39" s="66"/>
      <c r="W39" s="66"/>
      <c r="X39" s="66"/>
      <c r="Y39" s="66"/>
      <c r="Z39" s="66"/>
      <c r="AA39" s="66"/>
      <c r="AB39" s="66"/>
      <c r="AC39" s="66"/>
      <c r="AD39" s="66"/>
      <c r="AE39" s="66"/>
      <c r="AF39" s="66"/>
      <c r="AG39" s="66"/>
    </row>
    <row r="40" spans="1:33">
      <c r="A40" s="6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P40" s="66"/>
      <c r="Q40" s="6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F40" s="66"/>
      <c r="AG40" s="66"/>
    </row>
  </sheetData>
  <mergeCells count="4">
    <mergeCell ref="N2:Q2"/>
    <mergeCell ref="I2:L2"/>
    <mergeCell ref="S2:V2"/>
    <mergeCell ref="X2:AA2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arameters1"/>
  <dimension ref="A1:T72"/>
  <sheetViews>
    <sheetView showGridLines="0" workbookViewId="0">
      <selection sqref="A1:I1"/>
    </sheetView>
  </sheetViews>
  <sheetFormatPr defaultRowHeight="15"/>
  <cols>
    <col min="1" max="1" width="13.42578125" bestFit="1" customWidth="1"/>
    <col min="2" max="2" width="9.85546875" customWidth="1"/>
    <col min="3" max="3" width="9" customWidth="1"/>
    <col min="4" max="4" width="15.85546875" bestFit="1" customWidth="1"/>
    <col min="5" max="5" width="13.85546875" bestFit="1" customWidth="1"/>
    <col min="6" max="6" width="15.85546875" bestFit="1" customWidth="1"/>
    <col min="7" max="7" width="21.85546875" bestFit="1" customWidth="1"/>
    <col min="8" max="8" width="15.85546875" bestFit="1" customWidth="1"/>
    <col min="9" max="9" width="25" bestFit="1" customWidth="1"/>
    <col min="10" max="10" width="15.85546875" bestFit="1" customWidth="1"/>
    <col min="11" max="11" width="13.7109375" customWidth="1"/>
    <col min="12" max="12" width="56.42578125" bestFit="1" customWidth="1"/>
    <col min="13" max="13" width="20.140625" bestFit="1" customWidth="1"/>
    <col min="14" max="14" width="30" bestFit="1" customWidth="1"/>
    <col min="15" max="15" width="8" bestFit="1" customWidth="1"/>
  </cols>
  <sheetData>
    <row r="1" spans="1:20" ht="43.5" customHeight="1" thickBot="1">
      <c r="A1" s="465"/>
      <c r="B1" s="465"/>
      <c r="C1" s="465"/>
      <c r="D1" s="465"/>
      <c r="E1" s="465"/>
      <c r="F1" s="465"/>
      <c r="G1" s="465"/>
      <c r="H1" s="465"/>
      <c r="I1" s="465"/>
    </row>
    <row r="2" spans="1:20" ht="15.75" thickBot="1">
      <c r="A2" s="46"/>
      <c r="B2" s="47"/>
      <c r="C2" s="48" t="s">
        <v>54</v>
      </c>
    </row>
    <row r="3" spans="1:20">
      <c r="A3" s="40" t="s">
        <v>106</v>
      </c>
      <c r="B3" s="37" t="s">
        <v>107</v>
      </c>
      <c r="C3" s="41"/>
      <c r="T3">
        <v>10</v>
      </c>
    </row>
    <row r="4" spans="1:20">
      <c r="A4" s="40" t="s">
        <v>108</v>
      </c>
      <c r="B4" s="37" t="s">
        <v>105</v>
      </c>
      <c r="C4" s="41"/>
    </row>
    <row r="5" spans="1:20">
      <c r="A5" s="40" t="s">
        <v>48</v>
      </c>
      <c r="B5" s="37" t="s">
        <v>55</v>
      </c>
      <c r="C5" s="42"/>
    </row>
    <row r="6" spans="1:20">
      <c r="A6" s="40" t="s">
        <v>49</v>
      </c>
      <c r="B6" s="38" t="s">
        <v>56</v>
      </c>
      <c r="C6" s="42"/>
    </row>
    <row r="7" spans="1:20" ht="15.75" thickBot="1">
      <c r="A7" s="43" t="s">
        <v>50</v>
      </c>
      <c r="B7" s="44" t="s">
        <v>57</v>
      </c>
      <c r="C7" s="45"/>
    </row>
    <row r="8" spans="1:20">
      <c r="T8">
        <v>15</v>
      </c>
    </row>
    <row r="10" spans="1:20">
      <c r="T10">
        <v>16</v>
      </c>
    </row>
    <row r="12" spans="1:20">
      <c r="T12">
        <v>17</v>
      </c>
    </row>
    <row r="14" spans="1:20">
      <c r="O14">
        <v>0</v>
      </c>
    </row>
    <row r="16" spans="1:20">
      <c r="T16">
        <v>18</v>
      </c>
    </row>
    <row r="18" spans="15:20">
      <c r="T18">
        <v>19</v>
      </c>
    </row>
    <row r="19" spans="15:20">
      <c r="O19">
        <v>0</v>
      </c>
    </row>
    <row r="21" spans="15:20">
      <c r="O21">
        <v>0</v>
      </c>
      <c r="T21">
        <v>20</v>
      </c>
    </row>
    <row r="24" spans="15:20">
      <c r="T24">
        <v>21</v>
      </c>
    </row>
    <row r="26" spans="15:20">
      <c r="T26">
        <v>22</v>
      </c>
    </row>
    <row r="28" spans="15:20">
      <c r="T28">
        <v>23</v>
      </c>
    </row>
    <row r="30" spans="15:20">
      <c r="T30">
        <v>24</v>
      </c>
    </row>
    <row r="32" spans="15:20">
      <c r="T32">
        <v>25</v>
      </c>
    </row>
    <row r="34" spans="15:20">
      <c r="T34">
        <v>26</v>
      </c>
    </row>
    <row r="35" spans="15:20">
      <c r="O35">
        <v>0</v>
      </c>
    </row>
    <row r="37" spans="15:20">
      <c r="O37">
        <v>0</v>
      </c>
      <c r="T37">
        <v>27</v>
      </c>
    </row>
    <row r="38" spans="15:20">
      <c r="T38">
        <v>28</v>
      </c>
    </row>
    <row r="40" spans="15:20">
      <c r="T40">
        <v>29</v>
      </c>
    </row>
    <row r="42" spans="15:20">
      <c r="T42">
        <v>30</v>
      </c>
    </row>
    <row r="44" spans="15:20">
      <c r="T44">
        <v>31</v>
      </c>
    </row>
    <row r="46" spans="15:20">
      <c r="T46">
        <v>32</v>
      </c>
    </row>
    <row r="47" spans="15:20">
      <c r="O47">
        <v>0</v>
      </c>
    </row>
    <row r="48" spans="15:20">
      <c r="T48">
        <v>33</v>
      </c>
    </row>
    <row r="50" spans="15:20">
      <c r="T50">
        <v>34</v>
      </c>
    </row>
    <row r="52" spans="15:20">
      <c r="T52">
        <v>35</v>
      </c>
    </row>
    <row r="53" spans="15:20">
      <c r="O53">
        <v>0</v>
      </c>
    </row>
    <row r="54" spans="15:20">
      <c r="T54">
        <v>36</v>
      </c>
    </row>
    <row r="56" spans="15:20">
      <c r="T56">
        <v>37</v>
      </c>
    </row>
    <row r="57" spans="15:20">
      <c r="O57">
        <v>0</v>
      </c>
    </row>
    <row r="59" spans="15:20">
      <c r="O59">
        <v>0</v>
      </c>
      <c r="T59">
        <v>38</v>
      </c>
    </row>
    <row r="60" spans="15:20">
      <c r="T60">
        <v>39</v>
      </c>
    </row>
    <row r="61" spans="15:20">
      <c r="T61">
        <v>40</v>
      </c>
    </row>
    <row r="63" spans="15:20">
      <c r="T63">
        <v>41</v>
      </c>
    </row>
    <row r="65" spans="20:20">
      <c r="T65">
        <v>42</v>
      </c>
    </row>
    <row r="67" spans="20:20">
      <c r="T67">
        <v>43</v>
      </c>
    </row>
    <row r="70" spans="20:20">
      <c r="T70">
        <v>44</v>
      </c>
    </row>
    <row r="72" spans="20:20">
      <c r="T72">
        <v>45</v>
      </c>
    </row>
  </sheetData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Parameters"/>
  <dimension ref="A1:I13"/>
  <sheetViews>
    <sheetView showGridLines="0" workbookViewId="0">
      <selection sqref="A1:I1"/>
    </sheetView>
  </sheetViews>
  <sheetFormatPr defaultRowHeight="15"/>
  <cols>
    <col min="1" max="1" width="19" customWidth="1"/>
    <col min="2" max="2" width="22.85546875" customWidth="1"/>
    <col min="3" max="3" width="19.85546875" customWidth="1"/>
    <col min="4" max="4" width="16.28515625" customWidth="1"/>
    <col min="5" max="5" width="13.85546875" bestFit="1" customWidth="1"/>
    <col min="6" max="6" width="15.85546875" bestFit="1" customWidth="1"/>
    <col min="7" max="7" width="21.85546875" bestFit="1" customWidth="1"/>
    <col min="8" max="8" width="6.28515625" customWidth="1"/>
    <col min="9" max="9" width="44.140625" bestFit="1" customWidth="1"/>
    <col min="10" max="10" width="15.85546875" bestFit="1" customWidth="1"/>
    <col min="11" max="11" width="13.7109375" customWidth="1"/>
    <col min="12" max="12" width="56.42578125" bestFit="1" customWidth="1"/>
    <col min="13" max="13" width="20.140625" bestFit="1" customWidth="1"/>
    <col min="14" max="14" width="30" bestFit="1" customWidth="1"/>
    <col min="15" max="15" width="8" bestFit="1" customWidth="1"/>
  </cols>
  <sheetData>
    <row r="1" spans="1:9" ht="43.5" customHeight="1">
      <c r="A1" s="465"/>
      <c r="B1" s="465"/>
      <c r="C1" s="465"/>
      <c r="D1" s="465"/>
      <c r="E1" s="465"/>
      <c r="F1" s="465"/>
      <c r="G1" s="465"/>
      <c r="H1" s="465"/>
      <c r="I1" s="465"/>
    </row>
    <row r="2" spans="1:9">
      <c r="A2" t="s">
        <v>43</v>
      </c>
      <c r="B2" t="s">
        <v>11</v>
      </c>
      <c r="C2" t="s">
        <v>9</v>
      </c>
      <c r="D2" t="s">
        <v>24</v>
      </c>
      <c r="E2" t="s">
        <v>26</v>
      </c>
      <c r="F2" t="s">
        <v>28</v>
      </c>
      <c r="G2" t="s">
        <v>46</v>
      </c>
      <c r="H2" t="s">
        <v>30</v>
      </c>
      <c r="I2" t="s">
        <v>40</v>
      </c>
    </row>
    <row r="3" spans="1:9">
      <c r="A3" t="s">
        <v>143</v>
      </c>
      <c r="B3" t="s">
        <v>99</v>
      </c>
      <c r="C3" t="s">
        <v>27</v>
      </c>
      <c r="D3" t="s">
        <v>27</v>
      </c>
      <c r="E3" s="3">
        <v>1</v>
      </c>
      <c r="F3" t="s">
        <v>25</v>
      </c>
      <c r="G3" s="394" t="s">
        <v>222</v>
      </c>
      <c r="H3">
        <v>1</v>
      </c>
    </row>
    <row r="4" spans="1:9" ht="14.25" customHeight="1">
      <c r="A4" t="s">
        <v>143</v>
      </c>
      <c r="B4" t="s">
        <v>99</v>
      </c>
      <c r="C4" t="s">
        <v>210</v>
      </c>
      <c r="D4" t="s">
        <v>102</v>
      </c>
      <c r="E4" s="3">
        <v>1</v>
      </c>
      <c r="F4" t="s">
        <v>102</v>
      </c>
      <c r="G4" s="395" t="s">
        <v>102</v>
      </c>
      <c r="H4">
        <v>2</v>
      </c>
    </row>
    <row r="5" spans="1:9">
      <c r="A5" t="s">
        <v>143</v>
      </c>
      <c r="B5" t="s">
        <v>99</v>
      </c>
      <c r="C5" t="s">
        <v>214</v>
      </c>
      <c r="D5" t="s">
        <v>214</v>
      </c>
      <c r="E5" s="3">
        <v>1</v>
      </c>
      <c r="F5" t="s">
        <v>39</v>
      </c>
      <c r="G5" s="396" t="s">
        <v>131</v>
      </c>
      <c r="H5">
        <v>3</v>
      </c>
      <c r="I5" t="s">
        <v>102</v>
      </c>
    </row>
    <row r="6" spans="1:9" ht="15.75" customHeight="1">
      <c r="E6" s="3"/>
    </row>
    <row r="7" spans="1:9" ht="15.75" customHeight="1">
      <c r="E7" s="3"/>
    </row>
    <row r="8" spans="1:9">
      <c r="A8" t="s">
        <v>82</v>
      </c>
      <c r="B8" t="s">
        <v>83</v>
      </c>
      <c r="C8" t="s">
        <v>85</v>
      </c>
      <c r="D8" t="s">
        <v>93</v>
      </c>
      <c r="E8" t="s">
        <v>8</v>
      </c>
    </row>
    <row r="9" spans="1:9">
      <c r="A9" s="76" t="s">
        <v>89</v>
      </c>
      <c r="B9" s="76"/>
      <c r="C9" s="76" t="s">
        <v>92</v>
      </c>
      <c r="D9" s="76" t="s">
        <v>57</v>
      </c>
      <c r="E9" s="78"/>
    </row>
    <row r="10" spans="1:9">
      <c r="A10" s="75" t="s">
        <v>88</v>
      </c>
      <c r="B10" s="75" t="s">
        <v>84</v>
      </c>
      <c r="C10" s="75" t="s">
        <v>92</v>
      </c>
      <c r="D10" s="75" t="s">
        <v>86</v>
      </c>
      <c r="E10" s="79"/>
    </row>
    <row r="11" spans="1:9">
      <c r="A11" s="76" t="s">
        <v>75</v>
      </c>
      <c r="B11" s="76"/>
      <c r="C11" s="76" t="s">
        <v>87</v>
      </c>
      <c r="D11" s="76" t="s">
        <v>57</v>
      </c>
      <c r="E11" s="80"/>
    </row>
    <row r="12" spans="1:9">
      <c r="A12" s="77" t="s">
        <v>73</v>
      </c>
      <c r="B12" s="77" t="s">
        <v>91</v>
      </c>
      <c r="C12" s="77" t="s">
        <v>87</v>
      </c>
      <c r="D12" s="77" t="s">
        <v>86</v>
      </c>
      <c r="E12" s="81"/>
    </row>
    <row r="13" spans="1:9">
      <c r="A13" s="76" t="s">
        <v>90</v>
      </c>
      <c r="B13" s="76"/>
      <c r="C13" s="76"/>
      <c r="D13" s="76"/>
      <c r="E13" s="88"/>
    </row>
  </sheetData>
  <mergeCells count="1">
    <mergeCell ref="A1:I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hkPopulatFreePoint">
          <controlPr defaultSize="0" autoLine="0" r:id="rId5">
            <anchor moveWithCells="1">
              <from>
                <xdr:col>1</xdr:col>
                <xdr:colOff>666750</xdr:colOff>
                <xdr:row>0</xdr:row>
                <xdr:rowOff>200025</xdr:rowOff>
              </from>
              <to>
                <xdr:col>3</xdr:col>
                <xdr:colOff>752475</xdr:colOff>
                <xdr:row>0</xdr:row>
                <xdr:rowOff>485775</xdr:rowOff>
              </to>
            </anchor>
          </controlPr>
        </control>
      </mc:Choice>
      <mc:Fallback>
        <control shapeId="3075" r:id="rId4" name="chkPopulatFreePoint"/>
      </mc:Fallback>
    </mc:AlternateContent>
  </controls>
  <tableParts count="2"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FreeDay"/>
  <dimension ref="A1:C19"/>
  <sheetViews>
    <sheetView showGridLines="0" showRowColHeaders="0" workbookViewId="0">
      <selection sqref="A1:C1"/>
    </sheetView>
  </sheetViews>
  <sheetFormatPr defaultRowHeight="15"/>
  <cols>
    <col min="1" max="1" width="24.28515625" bestFit="1" customWidth="1"/>
    <col min="2" max="2" width="10.7109375" bestFit="1" customWidth="1"/>
    <col min="3" max="3" width="13.5703125" customWidth="1"/>
  </cols>
  <sheetData>
    <row r="1" spans="1:3" ht="35.25" customHeight="1">
      <c r="A1" s="465"/>
      <c r="B1" s="465"/>
      <c r="C1" s="465"/>
    </row>
    <row r="2" spans="1:3" ht="2.25" customHeight="1">
      <c r="A2" s="465"/>
      <c r="B2" s="465"/>
      <c r="C2" s="465"/>
    </row>
    <row r="3" spans="1:3">
      <c r="A3" t="s">
        <v>14</v>
      </c>
      <c r="B3" s="1" t="s">
        <v>15</v>
      </c>
      <c r="C3" t="s">
        <v>16</v>
      </c>
    </row>
    <row r="4" spans="1:3">
      <c r="A4" t="s">
        <v>17</v>
      </c>
      <c r="B4" s="1">
        <v>45292</v>
      </c>
      <c r="C4" t="str">
        <f t="shared" ref="C4:C19" si="0">TEXT(B4,"dddd")</f>
        <v>segunda-feira</v>
      </c>
    </row>
    <row r="5" spans="1:3">
      <c r="A5" t="s">
        <v>100</v>
      </c>
      <c r="B5" s="1">
        <v>45285</v>
      </c>
      <c r="C5" t="str">
        <f t="shared" si="0"/>
        <v>segunda-feira</v>
      </c>
    </row>
    <row r="6" spans="1:3">
      <c r="A6" t="s">
        <v>18</v>
      </c>
      <c r="B6" s="1">
        <v>45334</v>
      </c>
      <c r="C6" t="str">
        <f t="shared" si="0"/>
        <v>segunda-feira</v>
      </c>
    </row>
    <row r="7" spans="1:3">
      <c r="A7" t="s">
        <v>18</v>
      </c>
      <c r="B7" s="1">
        <v>45335</v>
      </c>
      <c r="C7" t="str">
        <f t="shared" si="0"/>
        <v>terça-feira</v>
      </c>
    </row>
    <row r="8" spans="1:3">
      <c r="A8" t="s">
        <v>21</v>
      </c>
      <c r="B8" s="1">
        <v>45380</v>
      </c>
      <c r="C8" t="str">
        <f t="shared" si="0"/>
        <v>sexta-feira</v>
      </c>
    </row>
    <row r="9" spans="1:3">
      <c r="A9" t="s">
        <v>109</v>
      </c>
      <c r="B9" s="1">
        <v>45413</v>
      </c>
      <c r="C9" t="str">
        <f t="shared" si="0"/>
        <v>quarta-feira</v>
      </c>
    </row>
    <row r="10" spans="1:3">
      <c r="A10" t="s">
        <v>19</v>
      </c>
      <c r="B10" s="1">
        <v>45442</v>
      </c>
      <c r="C10" t="str">
        <f t="shared" si="0"/>
        <v>quinta-feira</v>
      </c>
    </row>
    <row r="11" spans="1:3">
      <c r="A11" t="s">
        <v>110</v>
      </c>
      <c r="B11" s="1">
        <v>45542</v>
      </c>
      <c r="C11" t="str">
        <f t="shared" si="0"/>
        <v>sábado</v>
      </c>
    </row>
    <row r="12" spans="1:3">
      <c r="A12" t="s">
        <v>111</v>
      </c>
      <c r="B12" s="1">
        <v>45577</v>
      </c>
      <c r="C12" t="str">
        <f t="shared" si="0"/>
        <v>sábado</v>
      </c>
    </row>
    <row r="13" spans="1:3">
      <c r="A13" t="s">
        <v>112</v>
      </c>
      <c r="B13" s="1">
        <v>45598</v>
      </c>
      <c r="C13" t="str">
        <f t="shared" si="0"/>
        <v>sábado</v>
      </c>
    </row>
    <row r="14" spans="1:3">
      <c r="A14" t="s">
        <v>113</v>
      </c>
      <c r="B14" s="1">
        <v>45611</v>
      </c>
      <c r="C14" t="str">
        <f t="shared" si="0"/>
        <v>sexta-feira</v>
      </c>
    </row>
    <row r="15" spans="1:3">
      <c r="A15" t="s">
        <v>114</v>
      </c>
      <c r="B15" s="1">
        <v>45616</v>
      </c>
      <c r="C15" t="str">
        <f t="shared" si="0"/>
        <v>quarta-feira</v>
      </c>
    </row>
    <row r="16" spans="1:3">
      <c r="A16" t="s">
        <v>120</v>
      </c>
      <c r="B16" s="1">
        <v>45651</v>
      </c>
      <c r="C16" t="str">
        <f t="shared" si="0"/>
        <v>quarta-feira</v>
      </c>
    </row>
    <row r="17" spans="1:3">
      <c r="A17" t="s">
        <v>17</v>
      </c>
      <c r="B17" s="1">
        <v>45658</v>
      </c>
      <c r="C17" t="str">
        <f t="shared" si="0"/>
        <v>quarta-feira</v>
      </c>
    </row>
    <row r="18" spans="1:3">
      <c r="A18" t="s">
        <v>18</v>
      </c>
      <c r="B18" s="1">
        <v>45719</v>
      </c>
      <c r="C18" t="str">
        <f t="shared" si="0"/>
        <v>segunda-feira</v>
      </c>
    </row>
    <row r="19" spans="1:3">
      <c r="A19" t="s">
        <v>18</v>
      </c>
      <c r="B19" s="1">
        <v>45720</v>
      </c>
      <c r="C19" t="str">
        <f t="shared" si="0"/>
        <v>terça-feira</v>
      </c>
    </row>
  </sheetData>
  <mergeCells count="2">
    <mergeCell ref="A1:C1"/>
    <mergeCell ref="A2:C2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4097" r:id="rId3" name="chkWeekend">
          <controlPr defaultSize="0" autoLine="0" r:id="rId4">
            <anchor moveWithCells="1">
              <from>
                <xdr:col>0</xdr:col>
                <xdr:colOff>1352550</xdr:colOff>
                <xdr:row>0</xdr:row>
                <xdr:rowOff>190500</xdr:rowOff>
              </from>
              <to>
                <xdr:col>2</xdr:col>
                <xdr:colOff>800100</xdr:colOff>
                <xdr:row>0</xdr:row>
                <xdr:rowOff>419100</xdr:rowOff>
              </to>
            </anchor>
          </controlPr>
        </control>
      </mc:Choice>
      <mc:Fallback>
        <control shapeId="4097" r:id="rId3" name="chkWeekend"/>
      </mc:Fallback>
    </mc:AlternateContent>
  </controls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Release"/>
  <dimension ref="A1:E3"/>
  <sheetViews>
    <sheetView showGridLines="0" workbookViewId="0">
      <selection activeCell="C4" sqref="C4"/>
    </sheetView>
  </sheetViews>
  <sheetFormatPr defaultRowHeight="15"/>
  <cols>
    <col min="1" max="1" width="15" bestFit="1" customWidth="1"/>
    <col min="2" max="2" width="12.5703125" bestFit="1" customWidth="1"/>
    <col min="3" max="3" width="11.5703125" bestFit="1" customWidth="1"/>
    <col min="4" max="4" width="10.42578125" style="100" bestFit="1" customWidth="1"/>
  </cols>
  <sheetData>
    <row r="1" spans="1:5" ht="38.25" customHeight="1">
      <c r="A1" s="465"/>
      <c r="B1" s="465"/>
      <c r="C1" s="465"/>
      <c r="D1" s="465"/>
    </row>
    <row r="2" spans="1:5">
      <c r="A2" t="s">
        <v>0</v>
      </c>
      <c r="B2" t="s">
        <v>1</v>
      </c>
      <c r="C2" t="s">
        <v>2</v>
      </c>
      <c r="D2" s="100" t="s">
        <v>64</v>
      </c>
      <c r="E2" t="s">
        <v>8</v>
      </c>
    </row>
    <row r="3" spans="1:5">
      <c r="A3" s="2" t="s">
        <v>101</v>
      </c>
      <c r="B3" s="1">
        <v>45686</v>
      </c>
      <c r="C3" s="1">
        <v>45757</v>
      </c>
      <c r="D3" s="100">
        <f>tblReleasePlanning[DataFinal]-tblReleasePlanning[DataInicial]+1</f>
        <v>72</v>
      </c>
      <c r="E3" s="397"/>
    </row>
  </sheetData>
  <mergeCells count="1">
    <mergeCell ref="A1:D1"/>
  </mergeCells>
  <pageMargins left="0.511811024" right="0.511811024" top="0.78740157499999996" bottom="0.78740157499999996" header="0.31496062000000002" footer="0.31496062000000002"/>
  <drawing r:id="rId1"/>
  <legacy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Backlog"/>
  <dimension ref="A1:BE183"/>
  <sheetViews>
    <sheetView showGridLines="0" zoomScaleNormal="100" workbookViewId="0">
      <selection sqref="A1:U1"/>
    </sheetView>
  </sheetViews>
  <sheetFormatPr defaultRowHeight="12"/>
  <cols>
    <col min="1" max="1" width="9.28515625" style="131" bestFit="1" customWidth="1"/>
    <col min="2" max="2" width="14.28515625" style="131" bestFit="1" customWidth="1"/>
    <col min="3" max="3" width="45" style="131" bestFit="1" customWidth="1"/>
    <col min="4" max="4" width="19.28515625" style="131" bestFit="1" customWidth="1"/>
    <col min="5" max="5" width="127" style="131" bestFit="1" customWidth="1"/>
    <col min="6" max="6" width="30.28515625" style="131" bestFit="1" customWidth="1"/>
    <col min="7" max="7" width="20.42578125" style="131" bestFit="1" customWidth="1"/>
    <col min="8" max="8" width="30.5703125" style="131" bestFit="1" customWidth="1"/>
    <col min="9" max="9" width="9.85546875" style="131" bestFit="1" customWidth="1"/>
    <col min="10" max="10" width="19.5703125" style="131" bestFit="1" customWidth="1"/>
    <col min="11" max="11" width="12.5703125" style="131" bestFit="1" customWidth="1"/>
    <col min="12" max="12" width="17.28515625" style="131" bestFit="1" customWidth="1"/>
    <col min="13" max="13" width="14.85546875" style="131" bestFit="1" customWidth="1"/>
    <col min="14" max="14" width="15.85546875" style="131" bestFit="1" customWidth="1"/>
    <col min="15" max="15" width="14.140625" style="131" bestFit="1" customWidth="1"/>
    <col min="16" max="16" width="8.140625" style="131" bestFit="1" customWidth="1"/>
    <col min="17" max="17" width="9.140625" style="131" bestFit="1" customWidth="1"/>
    <col min="18" max="18" width="19.5703125" style="131" bestFit="1" customWidth="1"/>
    <col min="19" max="19" width="19.85546875" style="131" bestFit="1" customWidth="1"/>
    <col min="20" max="20" width="11" style="131" bestFit="1" customWidth="1"/>
    <col min="21" max="21" width="12.7109375" style="131" bestFit="1" customWidth="1"/>
    <col min="22" max="22" width="22.140625" style="131" bestFit="1" customWidth="1"/>
    <col min="23" max="23" width="28.42578125" style="131" bestFit="1" customWidth="1"/>
    <col min="24" max="24" width="29" style="131" bestFit="1" customWidth="1"/>
    <col min="25" max="25" width="16.5703125" style="131" bestFit="1" customWidth="1"/>
    <col min="26" max="26" width="7.42578125" style="131" bestFit="1" customWidth="1"/>
    <col min="27" max="27" width="8.7109375" style="131" bestFit="1" customWidth="1"/>
    <col min="28" max="28" width="14" style="131" bestFit="1" customWidth="1"/>
    <col min="29" max="29" width="14.42578125" style="131" bestFit="1" customWidth="1"/>
    <col min="30" max="30" width="13.85546875" style="131" bestFit="1" customWidth="1"/>
    <col min="31" max="31" width="8.28515625" style="131" bestFit="1" customWidth="1"/>
    <col min="32" max="33" width="11.28515625" style="131" bestFit="1" customWidth="1"/>
    <col min="34" max="34" width="8.7109375" style="131" bestFit="1" customWidth="1"/>
    <col min="35" max="35" width="10.85546875" style="131" bestFit="1" customWidth="1"/>
    <col min="36" max="36" width="7.7109375" style="131" bestFit="1" customWidth="1"/>
    <col min="37" max="37" width="7.5703125" style="131" bestFit="1" customWidth="1"/>
    <col min="38" max="38" width="11.28515625" style="131" bestFit="1" customWidth="1"/>
    <col min="39" max="39" width="9.42578125" style="131" bestFit="1" customWidth="1"/>
    <col min="40" max="40" width="8.28515625" style="131" bestFit="1" customWidth="1"/>
    <col min="41" max="41" width="11.28515625" style="131" bestFit="1" customWidth="1"/>
    <col min="42" max="42" width="7" style="131" bestFit="1" customWidth="1"/>
    <col min="43" max="43" width="7.7109375" style="131" bestFit="1" customWidth="1"/>
    <col min="44" max="44" width="17" style="131" bestFit="1" customWidth="1"/>
    <col min="45" max="45" width="17.140625" style="131" bestFit="1" customWidth="1"/>
    <col min="46" max="46" width="11.28515625" style="131" bestFit="1" customWidth="1"/>
    <col min="47" max="47" width="15" style="131" bestFit="1" customWidth="1"/>
    <col min="48" max="48" width="16.85546875" style="131" bestFit="1" customWidth="1"/>
    <col min="49" max="49" width="11.28515625" style="131" bestFit="1" customWidth="1"/>
    <col min="50" max="50" width="18.7109375" style="131" bestFit="1" customWidth="1"/>
    <col min="51" max="51" width="22.140625" style="131" bestFit="1" customWidth="1"/>
    <col min="52" max="52" width="16.140625" style="131" bestFit="1" customWidth="1"/>
    <col min="53" max="53" width="11.42578125" style="131" bestFit="1" customWidth="1"/>
    <col min="54" max="54" width="13" style="131" bestFit="1" customWidth="1"/>
    <col min="55" max="55" width="26.42578125" style="131" bestFit="1" customWidth="1"/>
    <col min="56" max="56" width="11.42578125" style="131" bestFit="1" customWidth="1"/>
    <col min="57" max="16384" width="9.140625" style="131"/>
  </cols>
  <sheetData>
    <row r="1" spans="1:57" ht="39" customHeight="1">
      <c r="A1" s="466"/>
      <c r="B1" s="466"/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466"/>
      <c r="R1" s="466"/>
      <c r="S1" s="466"/>
      <c r="T1" s="466"/>
      <c r="U1" s="466"/>
    </row>
    <row r="2" spans="1:57" ht="23.25" customHeight="1">
      <c r="A2" s="312" t="s">
        <v>352</v>
      </c>
      <c r="B2" s="312" t="s">
        <v>121</v>
      </c>
      <c r="C2" s="313" t="s">
        <v>122</v>
      </c>
      <c r="D2" s="313" t="s">
        <v>95</v>
      </c>
      <c r="E2" s="313" t="s">
        <v>123</v>
      </c>
      <c r="F2" s="313" t="s">
        <v>124</v>
      </c>
      <c r="G2" s="313" t="s">
        <v>125</v>
      </c>
      <c r="H2" s="313" t="s">
        <v>126</v>
      </c>
      <c r="I2" s="313" t="s">
        <v>127</v>
      </c>
      <c r="J2" s="313" t="s">
        <v>128</v>
      </c>
      <c r="K2" s="314" t="s">
        <v>129</v>
      </c>
      <c r="L2" s="314" t="s">
        <v>97</v>
      </c>
      <c r="M2" s="314" t="s">
        <v>47</v>
      </c>
      <c r="N2" s="314" t="s">
        <v>130</v>
      </c>
      <c r="O2" s="314" t="s">
        <v>27</v>
      </c>
      <c r="P2" s="314" t="s">
        <v>102</v>
      </c>
      <c r="Q2" s="314" t="s">
        <v>131</v>
      </c>
      <c r="R2" s="314" t="s">
        <v>132</v>
      </c>
      <c r="S2" s="314" t="s">
        <v>133</v>
      </c>
      <c r="T2" s="314" t="s">
        <v>134</v>
      </c>
      <c r="U2" s="314" t="s">
        <v>135</v>
      </c>
      <c r="V2" s="314" t="s">
        <v>136</v>
      </c>
      <c r="W2" s="313" t="s">
        <v>137</v>
      </c>
      <c r="X2" s="315" t="s">
        <v>138</v>
      </c>
      <c r="Y2" s="316" t="s">
        <v>96</v>
      </c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</row>
    <row r="3" spans="1:57" ht="23.25" customHeight="1">
      <c r="A3" s="317" t="s">
        <v>139</v>
      </c>
      <c r="B3" s="318">
        <v>1</v>
      </c>
      <c r="C3" s="310" t="s">
        <v>140</v>
      </c>
      <c r="D3" s="310" t="s">
        <v>141</v>
      </c>
      <c r="E3" s="310" t="s">
        <v>142</v>
      </c>
      <c r="F3" s="310"/>
      <c r="G3" s="310"/>
      <c r="H3" s="310"/>
      <c r="I3" s="310">
        <v>1</v>
      </c>
      <c r="J3" s="319"/>
      <c r="K3" s="320">
        <v>1</v>
      </c>
      <c r="L3" s="320"/>
      <c r="M3" s="311">
        <v>1</v>
      </c>
      <c r="N3" s="311">
        <v>1</v>
      </c>
      <c r="O3" s="311">
        <v>2</v>
      </c>
      <c r="P3" s="311">
        <v>4</v>
      </c>
      <c r="Q3" s="311">
        <v>10</v>
      </c>
      <c r="R3" s="311"/>
      <c r="S3" s="311"/>
      <c r="T3" s="311"/>
      <c r="U3" s="311">
        <f>SUM(tblBacklog[[#This Row],[Funcional]:[PC QA]])</f>
        <v>16</v>
      </c>
      <c r="V3" s="311"/>
      <c r="W3" s="319"/>
      <c r="X3" s="321"/>
      <c r="Y3" s="322" t="s">
        <v>143</v>
      </c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</row>
    <row r="4" spans="1:57" ht="23.25" customHeight="1">
      <c r="A4" s="323" t="s">
        <v>144</v>
      </c>
      <c r="B4" s="308">
        <v>2</v>
      </c>
      <c r="C4" s="310" t="s">
        <v>140</v>
      </c>
      <c r="D4" s="162" t="s">
        <v>145</v>
      </c>
      <c r="E4" s="162" t="s">
        <v>146</v>
      </c>
      <c r="F4" s="162"/>
      <c r="G4" s="162"/>
      <c r="H4" s="162"/>
      <c r="I4" s="310">
        <v>2</v>
      </c>
      <c r="J4" s="324"/>
      <c r="K4" s="320">
        <v>1</v>
      </c>
      <c r="L4" s="325"/>
      <c r="M4" s="311">
        <v>1</v>
      </c>
      <c r="N4" s="163">
        <v>2</v>
      </c>
      <c r="O4" s="311">
        <v>2</v>
      </c>
      <c r="P4" s="311">
        <v>4</v>
      </c>
      <c r="Q4" s="163">
        <v>8</v>
      </c>
      <c r="R4" s="163"/>
      <c r="S4" s="163"/>
      <c r="T4" s="163"/>
      <c r="U4" s="311">
        <f>SUM(tblBacklog[[#This Row],[Funcional]:[PC QA]])</f>
        <v>14</v>
      </c>
      <c r="V4" s="163"/>
      <c r="W4" s="324"/>
      <c r="X4" s="326"/>
      <c r="Y4" s="322" t="s">
        <v>143</v>
      </c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</row>
    <row r="5" spans="1:57" ht="23.25" customHeight="1">
      <c r="A5" s="327" t="s">
        <v>147</v>
      </c>
      <c r="B5" s="318">
        <v>3</v>
      </c>
      <c r="C5" s="310" t="s">
        <v>140</v>
      </c>
      <c r="D5" s="310" t="s">
        <v>145</v>
      </c>
      <c r="E5" s="310" t="s">
        <v>148</v>
      </c>
      <c r="F5" s="310"/>
      <c r="G5" s="162"/>
      <c r="H5" s="162"/>
      <c r="I5" s="310">
        <v>3</v>
      </c>
      <c r="J5" s="319"/>
      <c r="K5" s="320">
        <v>1</v>
      </c>
      <c r="L5" s="320"/>
      <c r="M5" s="311">
        <v>1</v>
      </c>
      <c r="N5" s="311">
        <v>3</v>
      </c>
      <c r="O5" s="311">
        <v>2</v>
      </c>
      <c r="P5" s="311">
        <v>4</v>
      </c>
      <c r="Q5" s="311">
        <v>10</v>
      </c>
      <c r="R5" s="311"/>
      <c r="S5" s="311"/>
      <c r="T5" s="311"/>
      <c r="U5" s="311">
        <f>SUM(tblBacklog[[#This Row],[Funcional]:[PC QA]])</f>
        <v>16</v>
      </c>
      <c r="V5" s="311"/>
      <c r="W5" s="319"/>
      <c r="X5" s="321"/>
      <c r="Y5" s="322" t="s">
        <v>143</v>
      </c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</row>
    <row r="6" spans="1:57" ht="41.25" customHeight="1">
      <c r="A6" s="328" t="s">
        <v>149</v>
      </c>
      <c r="B6" s="308">
        <v>4</v>
      </c>
      <c r="C6" s="310" t="s">
        <v>140</v>
      </c>
      <c r="D6" s="162" t="s">
        <v>150</v>
      </c>
      <c r="E6" s="162" t="s">
        <v>151</v>
      </c>
      <c r="F6" s="162"/>
      <c r="G6" s="162"/>
      <c r="H6" s="162"/>
      <c r="I6" s="310">
        <v>4</v>
      </c>
      <c r="J6" s="324"/>
      <c r="K6" s="320">
        <v>1</v>
      </c>
      <c r="L6" s="325"/>
      <c r="M6" s="311">
        <v>1</v>
      </c>
      <c r="N6" s="163">
        <v>27</v>
      </c>
      <c r="O6" s="311">
        <v>2</v>
      </c>
      <c r="P6" s="311">
        <v>4</v>
      </c>
      <c r="Q6" s="163">
        <v>10</v>
      </c>
      <c r="R6" s="163"/>
      <c r="S6" s="163"/>
      <c r="T6" s="163"/>
      <c r="U6" s="311">
        <f>SUM(tblBacklog[[#This Row],[Funcional]:[PC QA]])</f>
        <v>16</v>
      </c>
      <c r="V6" s="163"/>
      <c r="W6" s="324"/>
      <c r="X6" s="326"/>
      <c r="Y6" s="322" t="s">
        <v>143</v>
      </c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</row>
    <row r="7" spans="1:57" ht="39" customHeight="1">
      <c r="A7" s="329" t="s">
        <v>152</v>
      </c>
      <c r="B7" s="318">
        <v>5</v>
      </c>
      <c r="C7" s="310" t="s">
        <v>140</v>
      </c>
      <c r="D7" s="310" t="s">
        <v>150</v>
      </c>
      <c r="E7" s="310" t="s">
        <v>153</v>
      </c>
      <c r="F7" s="310"/>
      <c r="G7" s="162"/>
      <c r="H7" s="162"/>
      <c r="I7" s="310">
        <v>5</v>
      </c>
      <c r="J7" s="319"/>
      <c r="K7" s="320">
        <v>1</v>
      </c>
      <c r="L7" s="320"/>
      <c r="M7" s="311">
        <v>1</v>
      </c>
      <c r="N7" s="311">
        <v>28</v>
      </c>
      <c r="O7" s="311">
        <v>2</v>
      </c>
      <c r="P7" s="311">
        <v>4</v>
      </c>
      <c r="Q7" s="311">
        <v>10</v>
      </c>
      <c r="R7" s="311"/>
      <c r="S7" s="311"/>
      <c r="T7" s="311"/>
      <c r="U7" s="311">
        <f>SUM(tblBacklog[[#This Row],[Funcional]:[PC QA]])</f>
        <v>16</v>
      </c>
      <c r="V7" s="311"/>
      <c r="W7" s="319"/>
      <c r="X7" s="321"/>
      <c r="Y7" s="322" t="s">
        <v>143</v>
      </c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</row>
    <row r="8" spans="1:57" ht="36" customHeight="1">
      <c r="A8" s="330" t="s">
        <v>154</v>
      </c>
      <c r="B8" s="308">
        <v>6</v>
      </c>
      <c r="C8" s="310" t="s">
        <v>140</v>
      </c>
      <c r="D8" s="162" t="s">
        <v>155</v>
      </c>
      <c r="E8" s="162" t="s">
        <v>156</v>
      </c>
      <c r="F8" s="162"/>
      <c r="G8" s="162"/>
      <c r="H8" s="162"/>
      <c r="I8" s="310">
        <v>6</v>
      </c>
      <c r="J8" s="324"/>
      <c r="K8" s="320">
        <v>1</v>
      </c>
      <c r="L8" s="325"/>
      <c r="M8" s="311">
        <v>1</v>
      </c>
      <c r="N8" s="163">
        <v>4</v>
      </c>
      <c r="O8" s="311">
        <v>2</v>
      </c>
      <c r="P8" s="311">
        <v>4</v>
      </c>
      <c r="Q8" s="163">
        <v>10</v>
      </c>
      <c r="R8" s="163"/>
      <c r="S8" s="163"/>
      <c r="T8" s="163"/>
      <c r="U8" s="311">
        <f>SUM(tblBacklog[[#This Row],[Funcional]:[PC QA]])</f>
        <v>16</v>
      </c>
      <c r="V8" s="163"/>
      <c r="W8" s="324"/>
      <c r="X8" s="326"/>
      <c r="Y8" s="322" t="s">
        <v>143</v>
      </c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</row>
    <row r="9" spans="1:57" ht="36" customHeight="1">
      <c r="A9" s="331" t="s">
        <v>157</v>
      </c>
      <c r="B9" s="318">
        <v>7</v>
      </c>
      <c r="C9" s="310" t="s">
        <v>140</v>
      </c>
      <c r="D9" s="310" t="s">
        <v>155</v>
      </c>
      <c r="E9" s="310" t="s">
        <v>158</v>
      </c>
      <c r="F9" s="310"/>
      <c r="G9" s="162"/>
      <c r="H9" s="162"/>
      <c r="I9" s="310">
        <v>7</v>
      </c>
      <c r="J9" s="319"/>
      <c r="K9" s="320">
        <v>1</v>
      </c>
      <c r="L9" s="320"/>
      <c r="M9" s="311">
        <v>1</v>
      </c>
      <c r="N9" s="311">
        <v>5</v>
      </c>
      <c r="O9" s="311">
        <v>2</v>
      </c>
      <c r="P9" s="311">
        <v>4</v>
      </c>
      <c r="Q9" s="311">
        <v>8</v>
      </c>
      <c r="R9" s="311"/>
      <c r="S9" s="311"/>
      <c r="T9" s="311"/>
      <c r="U9" s="311">
        <f>SUM(tblBacklog[[#This Row],[Funcional]:[PC QA]])</f>
        <v>14</v>
      </c>
      <c r="V9" s="311"/>
      <c r="W9" s="319"/>
      <c r="X9" s="321"/>
      <c r="Y9" s="322" t="s">
        <v>143</v>
      </c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</row>
    <row r="10" spans="1:57" ht="36" customHeight="1">
      <c r="A10" s="332" t="s">
        <v>159</v>
      </c>
      <c r="B10" s="308">
        <v>8</v>
      </c>
      <c r="C10" s="310" t="s">
        <v>140</v>
      </c>
      <c r="D10" s="162" t="s">
        <v>160</v>
      </c>
      <c r="E10" s="162" t="s">
        <v>161</v>
      </c>
      <c r="F10" s="162"/>
      <c r="G10" s="162"/>
      <c r="H10" s="162"/>
      <c r="I10" s="310">
        <v>8</v>
      </c>
      <c r="J10" s="324"/>
      <c r="K10" s="320">
        <v>1</v>
      </c>
      <c r="L10" s="325"/>
      <c r="M10" s="311">
        <v>1</v>
      </c>
      <c r="N10" s="163">
        <v>29</v>
      </c>
      <c r="O10" s="311">
        <v>2</v>
      </c>
      <c r="P10" s="311">
        <v>4</v>
      </c>
      <c r="Q10" s="163">
        <v>8</v>
      </c>
      <c r="R10" s="163"/>
      <c r="S10" s="163"/>
      <c r="T10" s="163"/>
      <c r="U10" s="311">
        <f>SUM(tblBacklog[[#This Row],[Funcional]:[PC QA]])</f>
        <v>14</v>
      </c>
      <c r="V10" s="163"/>
      <c r="W10" s="324"/>
      <c r="X10" s="326"/>
      <c r="Y10" s="322" t="s">
        <v>143</v>
      </c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</row>
    <row r="11" spans="1:57" ht="23.25" customHeight="1">
      <c r="A11" s="333" t="s">
        <v>162</v>
      </c>
      <c r="B11" s="318">
        <v>9</v>
      </c>
      <c r="C11" s="310" t="s">
        <v>140</v>
      </c>
      <c r="D11" s="310" t="s">
        <v>160</v>
      </c>
      <c r="E11" s="310" t="s">
        <v>163</v>
      </c>
      <c r="F11" s="310"/>
      <c r="G11" s="162"/>
      <c r="H11" s="162"/>
      <c r="I11" s="310">
        <v>9</v>
      </c>
      <c r="J11" s="319"/>
      <c r="K11" s="320">
        <v>1</v>
      </c>
      <c r="L11" s="320"/>
      <c r="M11" s="311">
        <v>1</v>
      </c>
      <c r="N11" s="311">
        <v>30</v>
      </c>
      <c r="O11" s="311">
        <v>2</v>
      </c>
      <c r="P11" s="311">
        <v>4</v>
      </c>
      <c r="Q11" s="311">
        <v>8</v>
      </c>
      <c r="R11" s="311"/>
      <c r="S11" s="311"/>
      <c r="T11" s="311"/>
      <c r="U11" s="311">
        <f>SUM(tblBacklog[[#This Row],[Funcional]:[PC QA]])</f>
        <v>14</v>
      </c>
      <c r="V11" s="311"/>
      <c r="W11" s="319"/>
      <c r="X11" s="321"/>
      <c r="Y11" s="322" t="s">
        <v>143</v>
      </c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</row>
    <row r="12" spans="1:57" ht="23.25" customHeight="1">
      <c r="A12" s="334" t="s">
        <v>164</v>
      </c>
      <c r="B12" s="308">
        <v>10</v>
      </c>
      <c r="C12" s="310" t="s">
        <v>140</v>
      </c>
      <c r="D12" s="162" t="s">
        <v>165</v>
      </c>
      <c r="E12" s="162" t="s">
        <v>166</v>
      </c>
      <c r="F12" s="162"/>
      <c r="G12" s="162"/>
      <c r="H12" s="162"/>
      <c r="I12" s="310">
        <v>10</v>
      </c>
      <c r="J12" s="324"/>
      <c r="K12" s="320">
        <v>1</v>
      </c>
      <c r="L12" s="325"/>
      <c r="M12" s="311">
        <v>1</v>
      </c>
      <c r="N12" s="163">
        <v>6</v>
      </c>
      <c r="O12" s="311">
        <v>2</v>
      </c>
      <c r="P12" s="311">
        <v>4</v>
      </c>
      <c r="Q12" s="163">
        <v>8</v>
      </c>
      <c r="R12" s="163"/>
      <c r="S12" s="163"/>
      <c r="T12" s="163"/>
      <c r="U12" s="311">
        <f>SUM(tblBacklog[[#This Row],[Funcional]:[PC QA]])</f>
        <v>14</v>
      </c>
      <c r="V12" s="163"/>
      <c r="W12" s="324"/>
      <c r="X12" s="326"/>
      <c r="Y12" s="322" t="s">
        <v>143</v>
      </c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</row>
    <row r="13" spans="1:57" ht="23.25" customHeight="1">
      <c r="A13" s="335" t="s">
        <v>167</v>
      </c>
      <c r="B13" s="318">
        <v>11</v>
      </c>
      <c r="C13" s="310" t="s">
        <v>140</v>
      </c>
      <c r="D13" s="162" t="s">
        <v>165</v>
      </c>
      <c r="E13" s="310" t="s">
        <v>168</v>
      </c>
      <c r="F13" s="310"/>
      <c r="G13" s="162"/>
      <c r="H13" s="162"/>
      <c r="I13" s="310">
        <v>11</v>
      </c>
      <c r="J13" s="319"/>
      <c r="K13" s="320">
        <v>1</v>
      </c>
      <c r="L13" s="320"/>
      <c r="M13" s="311">
        <v>1</v>
      </c>
      <c r="N13" s="311">
        <v>7</v>
      </c>
      <c r="O13" s="311">
        <v>2</v>
      </c>
      <c r="P13" s="311">
        <v>4</v>
      </c>
      <c r="Q13" s="311">
        <v>10</v>
      </c>
      <c r="R13" s="311"/>
      <c r="S13" s="311"/>
      <c r="T13" s="311"/>
      <c r="U13" s="311">
        <f>SUM(tblBacklog[[#This Row],[Funcional]:[PC QA]])</f>
        <v>16</v>
      </c>
      <c r="V13" s="311"/>
      <c r="W13" s="319"/>
      <c r="X13" s="321"/>
      <c r="Y13" s="322" t="s">
        <v>143</v>
      </c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</row>
    <row r="14" spans="1:57" ht="23.25" customHeight="1">
      <c r="A14" s="336" t="s">
        <v>169</v>
      </c>
      <c r="B14" s="308">
        <v>12</v>
      </c>
      <c r="C14" s="310" t="s">
        <v>140</v>
      </c>
      <c r="D14" s="162" t="s">
        <v>165</v>
      </c>
      <c r="E14" s="162" t="s">
        <v>170</v>
      </c>
      <c r="F14" s="162"/>
      <c r="G14" s="162"/>
      <c r="H14" s="162"/>
      <c r="I14" s="310">
        <v>12</v>
      </c>
      <c r="J14" s="324"/>
      <c r="K14" s="320">
        <v>1</v>
      </c>
      <c r="L14" s="325"/>
      <c r="M14" s="311">
        <v>1</v>
      </c>
      <c r="N14" s="163">
        <v>8</v>
      </c>
      <c r="O14" s="311">
        <v>2</v>
      </c>
      <c r="P14" s="311">
        <v>4</v>
      </c>
      <c r="Q14" s="163">
        <v>8</v>
      </c>
      <c r="R14" s="163"/>
      <c r="S14" s="163"/>
      <c r="T14" s="163"/>
      <c r="U14" s="311">
        <f>SUM(tblBacklog[[#This Row],[Funcional]:[PC QA]])</f>
        <v>14</v>
      </c>
      <c r="V14" s="163"/>
      <c r="W14" s="324"/>
      <c r="X14" s="326"/>
      <c r="Y14" s="322" t="s">
        <v>143</v>
      </c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</row>
    <row r="15" spans="1:57" ht="23.25" customHeight="1">
      <c r="A15" s="337" t="s">
        <v>171</v>
      </c>
      <c r="B15" s="318">
        <v>13</v>
      </c>
      <c r="C15" s="310" t="s">
        <v>140</v>
      </c>
      <c r="D15" s="162" t="s">
        <v>165</v>
      </c>
      <c r="E15" s="310" t="s">
        <v>172</v>
      </c>
      <c r="F15" s="310"/>
      <c r="G15" s="162"/>
      <c r="H15" s="162"/>
      <c r="I15" s="310">
        <v>13</v>
      </c>
      <c r="J15" s="319"/>
      <c r="K15" s="320">
        <v>1</v>
      </c>
      <c r="L15" s="320"/>
      <c r="M15" s="311">
        <v>1</v>
      </c>
      <c r="N15" s="311">
        <v>9</v>
      </c>
      <c r="O15" s="311">
        <v>2</v>
      </c>
      <c r="P15" s="311">
        <v>4</v>
      </c>
      <c r="Q15" s="311">
        <v>8</v>
      </c>
      <c r="R15" s="311"/>
      <c r="S15" s="311"/>
      <c r="T15" s="311"/>
      <c r="U15" s="311">
        <f>SUM(tblBacklog[[#This Row],[Funcional]:[PC QA]])</f>
        <v>14</v>
      </c>
      <c r="V15" s="311"/>
      <c r="W15" s="319"/>
      <c r="X15" s="321"/>
      <c r="Y15" s="322" t="s">
        <v>143</v>
      </c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</row>
    <row r="16" spans="1:57" ht="23.25" customHeight="1">
      <c r="A16" s="338" t="s">
        <v>173</v>
      </c>
      <c r="B16" s="308">
        <v>14</v>
      </c>
      <c r="C16" s="310" t="s">
        <v>140</v>
      </c>
      <c r="D16" s="162" t="s">
        <v>165</v>
      </c>
      <c r="E16" s="162" t="s">
        <v>174</v>
      </c>
      <c r="F16" s="162"/>
      <c r="G16" s="162"/>
      <c r="H16" s="162"/>
      <c r="I16" s="310">
        <v>14</v>
      </c>
      <c r="J16" s="324"/>
      <c r="K16" s="320">
        <v>1</v>
      </c>
      <c r="L16" s="325"/>
      <c r="M16" s="311">
        <v>1</v>
      </c>
      <c r="N16" s="163">
        <v>10</v>
      </c>
      <c r="O16" s="311">
        <v>2</v>
      </c>
      <c r="P16" s="311">
        <v>4</v>
      </c>
      <c r="Q16" s="163">
        <v>8</v>
      </c>
      <c r="R16" s="163"/>
      <c r="S16" s="163"/>
      <c r="T16" s="163"/>
      <c r="U16" s="311">
        <f>SUM(tblBacklog[[#This Row],[Funcional]:[PC QA]])</f>
        <v>14</v>
      </c>
      <c r="V16" s="163"/>
      <c r="W16" s="324"/>
      <c r="X16" s="326"/>
      <c r="Y16" s="322" t="s">
        <v>143</v>
      </c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</row>
    <row r="17" spans="1:57" ht="30" customHeight="1">
      <c r="A17" s="339" t="s">
        <v>175</v>
      </c>
      <c r="B17" s="318">
        <v>15</v>
      </c>
      <c r="C17" s="310" t="s">
        <v>140</v>
      </c>
      <c r="D17" s="162" t="s">
        <v>165</v>
      </c>
      <c r="E17" s="310" t="s">
        <v>176</v>
      </c>
      <c r="F17" s="310"/>
      <c r="G17" s="162"/>
      <c r="H17" s="162"/>
      <c r="I17" s="310">
        <v>15</v>
      </c>
      <c r="J17" s="319"/>
      <c r="K17" s="320">
        <v>1</v>
      </c>
      <c r="L17" s="320"/>
      <c r="M17" s="311">
        <v>1</v>
      </c>
      <c r="N17" s="311">
        <v>11</v>
      </c>
      <c r="O17" s="311">
        <v>2</v>
      </c>
      <c r="P17" s="311">
        <v>4</v>
      </c>
      <c r="Q17" s="311">
        <v>8</v>
      </c>
      <c r="R17" s="311"/>
      <c r="S17" s="311"/>
      <c r="T17" s="311"/>
      <c r="U17" s="311">
        <f>SUM(tblBacklog[[#This Row],[Funcional]:[PC QA]])</f>
        <v>14</v>
      </c>
      <c r="V17" s="311"/>
      <c r="W17" s="319"/>
      <c r="X17" s="321"/>
      <c r="Y17" s="322" t="s">
        <v>143</v>
      </c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</row>
    <row r="18" spans="1:57" ht="15">
      <c r="A18" s="340" t="s">
        <v>177</v>
      </c>
      <c r="B18" s="308">
        <v>16</v>
      </c>
      <c r="C18" s="310" t="s">
        <v>140</v>
      </c>
      <c r="D18" s="162" t="s">
        <v>165</v>
      </c>
      <c r="E18" s="162" t="s">
        <v>178</v>
      </c>
      <c r="F18" s="162"/>
      <c r="G18" s="162"/>
      <c r="H18" s="162"/>
      <c r="I18" s="310">
        <v>16</v>
      </c>
      <c r="J18" s="324"/>
      <c r="K18" s="320">
        <v>1</v>
      </c>
      <c r="L18" s="325"/>
      <c r="M18" s="311">
        <v>1</v>
      </c>
      <c r="N18" s="163">
        <v>12</v>
      </c>
      <c r="O18" s="311">
        <v>2</v>
      </c>
      <c r="P18" s="311">
        <v>4</v>
      </c>
      <c r="Q18" s="163">
        <v>8</v>
      </c>
      <c r="R18" s="163"/>
      <c r="S18" s="163"/>
      <c r="T18" s="163"/>
      <c r="U18" s="311">
        <f>SUM(tblBacklog[[#This Row],[Funcional]:[PC QA]])</f>
        <v>14</v>
      </c>
      <c r="V18" s="163"/>
      <c r="W18" s="324"/>
      <c r="X18" s="326"/>
      <c r="Y18" s="322" t="s">
        <v>143</v>
      </c>
    </row>
    <row r="19" spans="1:57" ht="15">
      <c r="A19" s="341" t="s">
        <v>179</v>
      </c>
      <c r="B19" s="318">
        <v>17</v>
      </c>
      <c r="C19" s="310" t="s">
        <v>140</v>
      </c>
      <c r="D19" s="162" t="s">
        <v>165</v>
      </c>
      <c r="E19" s="310" t="s">
        <v>180</v>
      </c>
      <c r="F19" s="310"/>
      <c r="G19" s="162"/>
      <c r="H19" s="162"/>
      <c r="I19" s="310">
        <v>17</v>
      </c>
      <c r="J19" s="319"/>
      <c r="K19" s="320">
        <v>1</v>
      </c>
      <c r="L19" s="320"/>
      <c r="M19" s="311">
        <v>1</v>
      </c>
      <c r="N19" s="311">
        <v>13</v>
      </c>
      <c r="O19" s="311">
        <v>2</v>
      </c>
      <c r="P19" s="311">
        <v>4</v>
      </c>
      <c r="Q19" s="311">
        <v>8</v>
      </c>
      <c r="R19" s="311"/>
      <c r="S19" s="311"/>
      <c r="T19" s="311"/>
      <c r="U19" s="311">
        <f>SUM(tblBacklog[[#This Row],[Funcional]:[PC QA]])</f>
        <v>14</v>
      </c>
      <c r="V19" s="311"/>
      <c r="W19" s="319"/>
      <c r="X19" s="321"/>
      <c r="Y19" s="322" t="s">
        <v>143</v>
      </c>
    </row>
    <row r="20" spans="1:57" ht="15">
      <c r="A20" s="342" t="s">
        <v>181</v>
      </c>
      <c r="B20" s="308">
        <v>18</v>
      </c>
      <c r="C20" s="310" t="s">
        <v>140</v>
      </c>
      <c r="D20" s="162" t="s">
        <v>165</v>
      </c>
      <c r="E20" s="162" t="s">
        <v>182</v>
      </c>
      <c r="F20" s="162"/>
      <c r="G20" s="162"/>
      <c r="H20" s="162"/>
      <c r="I20" s="310">
        <v>18</v>
      </c>
      <c r="J20" s="324"/>
      <c r="K20" s="320">
        <v>1</v>
      </c>
      <c r="L20" s="325"/>
      <c r="M20" s="311">
        <v>1</v>
      </c>
      <c r="N20" s="163">
        <v>14</v>
      </c>
      <c r="O20" s="311">
        <v>2</v>
      </c>
      <c r="P20" s="311">
        <v>4</v>
      </c>
      <c r="Q20" s="163">
        <v>8</v>
      </c>
      <c r="R20" s="163"/>
      <c r="S20" s="163"/>
      <c r="T20" s="163"/>
      <c r="U20" s="311">
        <f>SUM(tblBacklog[[#This Row],[Funcional]:[PC QA]])</f>
        <v>14</v>
      </c>
      <c r="V20" s="163"/>
      <c r="W20" s="324"/>
      <c r="X20" s="326"/>
      <c r="Y20" s="322" t="s">
        <v>143</v>
      </c>
    </row>
    <row r="21" spans="1:57" ht="15">
      <c r="A21" s="343" t="s">
        <v>183</v>
      </c>
      <c r="B21" s="318">
        <v>19</v>
      </c>
      <c r="C21" s="310" t="s">
        <v>140</v>
      </c>
      <c r="D21" s="162" t="s">
        <v>165</v>
      </c>
      <c r="E21" s="310" t="s">
        <v>184</v>
      </c>
      <c r="F21" s="310"/>
      <c r="G21" s="162"/>
      <c r="H21" s="162"/>
      <c r="I21" s="310">
        <v>19</v>
      </c>
      <c r="J21" s="319"/>
      <c r="K21" s="320">
        <v>1</v>
      </c>
      <c r="L21" s="320"/>
      <c r="M21" s="311">
        <v>1</v>
      </c>
      <c r="N21" s="311">
        <v>15</v>
      </c>
      <c r="O21" s="311">
        <v>2</v>
      </c>
      <c r="P21" s="311">
        <v>4</v>
      </c>
      <c r="Q21" s="311">
        <v>2</v>
      </c>
      <c r="R21" s="311"/>
      <c r="S21" s="311"/>
      <c r="T21" s="311"/>
      <c r="U21" s="311">
        <f>SUM(tblBacklog[[#This Row],[Funcional]:[PC QA]])</f>
        <v>8</v>
      </c>
      <c r="V21" s="311"/>
      <c r="W21" s="319"/>
      <c r="X21" s="321"/>
      <c r="Y21" s="322" t="s">
        <v>143</v>
      </c>
    </row>
    <row r="22" spans="1:57" ht="30">
      <c r="A22" s="344" t="s">
        <v>185</v>
      </c>
      <c r="B22" s="308">
        <v>20</v>
      </c>
      <c r="C22" s="310" t="s">
        <v>140</v>
      </c>
      <c r="D22" s="162" t="s">
        <v>165</v>
      </c>
      <c r="E22" s="162" t="s">
        <v>186</v>
      </c>
      <c r="F22" s="162"/>
      <c r="G22" s="162"/>
      <c r="H22" s="162"/>
      <c r="I22" s="310">
        <v>20</v>
      </c>
      <c r="J22" s="324"/>
      <c r="K22" s="320">
        <v>1</v>
      </c>
      <c r="L22" s="325"/>
      <c r="M22" s="311">
        <v>1</v>
      </c>
      <c r="N22" s="163">
        <v>16</v>
      </c>
      <c r="O22" s="311">
        <v>2</v>
      </c>
      <c r="P22" s="311">
        <v>4</v>
      </c>
      <c r="Q22" s="163">
        <v>2</v>
      </c>
      <c r="R22" s="163"/>
      <c r="S22" s="163"/>
      <c r="T22" s="163"/>
      <c r="U22" s="311">
        <f>SUM(tblBacklog[[#This Row],[Funcional]:[PC QA]])</f>
        <v>8</v>
      </c>
      <c r="V22" s="163"/>
      <c r="W22" s="324"/>
      <c r="X22" s="326"/>
      <c r="Y22" s="322" t="s">
        <v>143</v>
      </c>
    </row>
    <row r="23" spans="1:57" ht="30">
      <c r="A23" s="330" t="s">
        <v>187</v>
      </c>
      <c r="B23" s="318">
        <v>21</v>
      </c>
      <c r="C23" s="310" t="s">
        <v>140</v>
      </c>
      <c r="D23" s="162" t="s">
        <v>165</v>
      </c>
      <c r="E23" s="310" t="s">
        <v>188</v>
      </c>
      <c r="F23" s="310"/>
      <c r="G23" s="162"/>
      <c r="H23" s="162"/>
      <c r="I23" s="310">
        <v>21</v>
      </c>
      <c r="J23" s="319"/>
      <c r="K23" s="320">
        <v>1</v>
      </c>
      <c r="L23" s="320"/>
      <c r="M23" s="311">
        <v>1</v>
      </c>
      <c r="N23" s="311">
        <v>17</v>
      </c>
      <c r="O23" s="311">
        <v>2</v>
      </c>
      <c r="P23" s="311">
        <v>4</v>
      </c>
      <c r="Q23" s="311">
        <v>2</v>
      </c>
      <c r="R23" s="311"/>
      <c r="S23" s="311"/>
      <c r="T23" s="311"/>
      <c r="U23" s="311">
        <f>SUM(tblBacklog[[#This Row],[Funcional]:[PC QA]])</f>
        <v>8</v>
      </c>
      <c r="V23" s="311"/>
      <c r="W23" s="319"/>
      <c r="X23" s="321"/>
      <c r="Y23" s="322" t="s">
        <v>143</v>
      </c>
    </row>
    <row r="24" spans="1:57" ht="15">
      <c r="A24" s="345" t="s">
        <v>189</v>
      </c>
      <c r="B24" s="308">
        <v>22</v>
      </c>
      <c r="C24" s="310" t="s">
        <v>140</v>
      </c>
      <c r="D24" s="162" t="s">
        <v>190</v>
      </c>
      <c r="E24" s="162" t="s">
        <v>191</v>
      </c>
      <c r="F24" s="162"/>
      <c r="G24" s="162"/>
      <c r="H24" s="162"/>
      <c r="I24" s="310">
        <v>22</v>
      </c>
      <c r="J24" s="324"/>
      <c r="K24" s="320">
        <v>1</v>
      </c>
      <c r="L24" s="325"/>
      <c r="M24" s="311">
        <v>1</v>
      </c>
      <c r="N24" s="163">
        <v>18</v>
      </c>
      <c r="O24" s="311">
        <v>2</v>
      </c>
      <c r="P24" s="311">
        <v>4</v>
      </c>
      <c r="Q24" s="163">
        <v>5</v>
      </c>
      <c r="R24" s="163"/>
      <c r="S24" s="163"/>
      <c r="T24" s="163"/>
      <c r="U24" s="311">
        <f>SUM(tblBacklog[[#This Row],[Funcional]:[PC QA]])</f>
        <v>11</v>
      </c>
      <c r="V24" s="163"/>
      <c r="W24" s="324"/>
      <c r="X24" s="326"/>
      <c r="Y24" s="322" t="s">
        <v>143</v>
      </c>
    </row>
    <row r="25" spans="1:57" ht="15">
      <c r="A25" s="346" t="s">
        <v>192</v>
      </c>
      <c r="B25" s="318">
        <v>23</v>
      </c>
      <c r="C25" s="310" t="s">
        <v>140</v>
      </c>
      <c r="D25" s="310" t="s">
        <v>193</v>
      </c>
      <c r="E25" s="310" t="s">
        <v>194</v>
      </c>
      <c r="F25" s="310"/>
      <c r="G25" s="162"/>
      <c r="H25" s="162"/>
      <c r="I25" s="310">
        <v>23</v>
      </c>
      <c r="J25" s="319"/>
      <c r="K25" s="320">
        <v>1</v>
      </c>
      <c r="L25" s="320"/>
      <c r="M25" s="311">
        <v>1</v>
      </c>
      <c r="N25" s="311">
        <v>19</v>
      </c>
      <c r="O25" s="311">
        <v>2</v>
      </c>
      <c r="P25" s="311">
        <v>4</v>
      </c>
      <c r="Q25" s="311">
        <v>10</v>
      </c>
      <c r="R25" s="311"/>
      <c r="S25" s="311"/>
      <c r="T25" s="311"/>
      <c r="U25" s="311">
        <f>SUM(tblBacklog[[#This Row],[Funcional]:[PC QA]])</f>
        <v>16</v>
      </c>
      <c r="V25" s="311"/>
      <c r="W25" s="319"/>
      <c r="X25" s="321"/>
      <c r="Y25" s="322" t="s">
        <v>143</v>
      </c>
    </row>
    <row r="26" spans="1:57" ht="15">
      <c r="A26" s="347" t="s">
        <v>195</v>
      </c>
      <c r="B26" s="308">
        <v>24</v>
      </c>
      <c r="C26" s="310" t="s">
        <v>140</v>
      </c>
      <c r="D26" s="162" t="s">
        <v>193</v>
      </c>
      <c r="E26" s="162" t="s">
        <v>196</v>
      </c>
      <c r="F26" s="162"/>
      <c r="G26" s="162"/>
      <c r="H26" s="162"/>
      <c r="I26" s="310">
        <v>24</v>
      </c>
      <c r="J26" s="324"/>
      <c r="K26" s="320">
        <v>1</v>
      </c>
      <c r="L26" s="325"/>
      <c r="M26" s="311">
        <v>1</v>
      </c>
      <c r="N26" s="163">
        <v>20</v>
      </c>
      <c r="O26" s="311">
        <v>2</v>
      </c>
      <c r="P26" s="311">
        <v>4</v>
      </c>
      <c r="Q26" s="163">
        <v>8</v>
      </c>
      <c r="R26" s="163"/>
      <c r="S26" s="163"/>
      <c r="T26" s="163"/>
      <c r="U26" s="311">
        <f>SUM(tblBacklog[[#This Row],[Funcional]:[PC QA]])</f>
        <v>14</v>
      </c>
      <c r="V26" s="163"/>
      <c r="W26" s="324"/>
      <c r="X26" s="326"/>
      <c r="Y26" s="322" t="s">
        <v>143</v>
      </c>
    </row>
    <row r="27" spans="1:57" ht="15">
      <c r="A27" s="328" t="s">
        <v>197</v>
      </c>
      <c r="B27" s="318">
        <v>25</v>
      </c>
      <c r="C27" s="310" t="s">
        <v>140</v>
      </c>
      <c r="D27" s="162" t="s">
        <v>193</v>
      </c>
      <c r="E27" s="310" t="s">
        <v>198</v>
      </c>
      <c r="F27" s="310"/>
      <c r="G27" s="162"/>
      <c r="H27" s="162"/>
      <c r="I27" s="310">
        <v>25</v>
      </c>
      <c r="J27" s="319"/>
      <c r="K27" s="320">
        <v>1</v>
      </c>
      <c r="L27" s="320"/>
      <c r="M27" s="311">
        <v>1</v>
      </c>
      <c r="N27" s="311">
        <v>21</v>
      </c>
      <c r="O27" s="311">
        <v>2</v>
      </c>
      <c r="P27" s="311">
        <v>4</v>
      </c>
      <c r="Q27" s="163">
        <v>8</v>
      </c>
      <c r="R27" s="311"/>
      <c r="S27" s="311"/>
      <c r="T27" s="311"/>
      <c r="U27" s="311">
        <f>SUM(tblBacklog[[#This Row],[Funcional]:[PC QA]])</f>
        <v>14</v>
      </c>
      <c r="V27" s="311"/>
      <c r="W27" s="319"/>
      <c r="X27" s="321"/>
      <c r="Y27" s="322" t="s">
        <v>143</v>
      </c>
    </row>
    <row r="28" spans="1:57" ht="15">
      <c r="A28" s="348" t="s">
        <v>199</v>
      </c>
      <c r="B28" s="308">
        <v>26</v>
      </c>
      <c r="C28" s="310" t="s">
        <v>140</v>
      </c>
      <c r="D28" s="162" t="s">
        <v>193</v>
      </c>
      <c r="E28" s="349" t="s">
        <v>200</v>
      </c>
      <c r="F28" s="162"/>
      <c r="G28" s="162"/>
      <c r="H28" s="162"/>
      <c r="I28" s="310">
        <v>26</v>
      </c>
      <c r="J28" s="324"/>
      <c r="K28" s="320">
        <v>1</v>
      </c>
      <c r="L28" s="325"/>
      <c r="M28" s="311">
        <v>1</v>
      </c>
      <c r="N28" s="163">
        <v>22</v>
      </c>
      <c r="O28" s="311">
        <v>2</v>
      </c>
      <c r="P28" s="311">
        <v>4</v>
      </c>
      <c r="Q28" s="163">
        <v>8</v>
      </c>
      <c r="R28" s="163"/>
      <c r="S28" s="163"/>
      <c r="T28" s="163"/>
      <c r="U28" s="311">
        <f>SUM(tblBacklog[[#This Row],[Funcional]:[PC QA]])</f>
        <v>14</v>
      </c>
      <c r="V28" s="163"/>
      <c r="W28" s="324"/>
      <c r="X28" s="326"/>
      <c r="Y28" s="322" t="s">
        <v>143</v>
      </c>
    </row>
    <row r="29" spans="1:57" ht="15">
      <c r="A29" s="350" t="s">
        <v>201</v>
      </c>
      <c r="B29" s="318">
        <v>27</v>
      </c>
      <c r="C29" s="310" t="s">
        <v>140</v>
      </c>
      <c r="D29" s="162" t="s">
        <v>193</v>
      </c>
      <c r="E29" s="351" t="s">
        <v>202</v>
      </c>
      <c r="F29" s="351"/>
      <c r="G29" s="162"/>
      <c r="H29" s="162"/>
      <c r="I29" s="310">
        <v>27</v>
      </c>
      <c r="J29" s="352"/>
      <c r="K29" s="320">
        <v>1</v>
      </c>
      <c r="L29" s="353"/>
      <c r="M29" s="311">
        <v>1</v>
      </c>
      <c r="N29" s="311">
        <v>23</v>
      </c>
      <c r="O29" s="311">
        <v>2</v>
      </c>
      <c r="P29" s="311">
        <v>4</v>
      </c>
      <c r="Q29" s="163">
        <v>8</v>
      </c>
      <c r="R29" s="354"/>
      <c r="S29" s="354"/>
      <c r="T29" s="354"/>
      <c r="U29" s="311">
        <f>SUM(tblBacklog[[#This Row],[Funcional]:[PC QA]])</f>
        <v>14</v>
      </c>
      <c r="V29" s="354"/>
      <c r="W29" s="352"/>
      <c r="X29" s="355"/>
      <c r="Y29" s="322" t="s">
        <v>143</v>
      </c>
    </row>
    <row r="30" spans="1:57" ht="15">
      <c r="A30" s="356" t="s">
        <v>203</v>
      </c>
      <c r="B30" s="308">
        <v>28</v>
      </c>
      <c r="C30" s="310" t="s">
        <v>140</v>
      </c>
      <c r="D30" s="162" t="s">
        <v>193</v>
      </c>
      <c r="E30" s="310" t="s">
        <v>204</v>
      </c>
      <c r="F30" s="310"/>
      <c r="G30" s="162"/>
      <c r="H30" s="162"/>
      <c r="I30" s="310">
        <v>28</v>
      </c>
      <c r="J30" s="319"/>
      <c r="K30" s="320">
        <v>1</v>
      </c>
      <c r="L30" s="320"/>
      <c r="M30" s="311">
        <v>1</v>
      </c>
      <c r="N30" s="163">
        <v>24</v>
      </c>
      <c r="O30" s="311">
        <v>2</v>
      </c>
      <c r="P30" s="311">
        <v>4</v>
      </c>
      <c r="Q30" s="163">
        <v>8</v>
      </c>
      <c r="R30" s="311"/>
      <c r="S30" s="311"/>
      <c r="T30" s="311"/>
      <c r="U30" s="311">
        <f>SUM(tblBacklog[[#This Row],[Funcional]:[PC QA]])</f>
        <v>14</v>
      </c>
      <c r="V30" s="311"/>
      <c r="W30" s="319"/>
      <c r="X30" s="321"/>
      <c r="Y30" s="322" t="s">
        <v>143</v>
      </c>
    </row>
    <row r="31" spans="1:57" ht="15">
      <c r="A31" s="357" t="s">
        <v>205</v>
      </c>
      <c r="B31" s="318">
        <v>29</v>
      </c>
      <c r="C31" s="310" t="s">
        <v>140</v>
      </c>
      <c r="D31" s="162" t="s">
        <v>193</v>
      </c>
      <c r="E31" s="310" t="s">
        <v>206</v>
      </c>
      <c r="F31" s="310"/>
      <c r="G31" s="162"/>
      <c r="H31" s="162"/>
      <c r="I31" s="310">
        <v>29</v>
      </c>
      <c r="J31" s="319"/>
      <c r="K31" s="320">
        <v>1</v>
      </c>
      <c r="L31" s="320"/>
      <c r="M31" s="311">
        <v>1</v>
      </c>
      <c r="N31" s="311">
        <v>25</v>
      </c>
      <c r="O31" s="311">
        <v>2</v>
      </c>
      <c r="P31" s="311">
        <v>4</v>
      </c>
      <c r="Q31" s="163">
        <v>8</v>
      </c>
      <c r="R31" s="311"/>
      <c r="S31" s="311"/>
      <c r="T31" s="311"/>
      <c r="U31" s="311">
        <f>SUM(tblBacklog[[#This Row],[Funcional]:[PC QA]])</f>
        <v>14</v>
      </c>
      <c r="V31" s="311"/>
      <c r="W31" s="319"/>
      <c r="X31" s="321"/>
      <c r="Y31" s="322" t="s">
        <v>143</v>
      </c>
    </row>
    <row r="32" spans="1:57" ht="15">
      <c r="A32" s="358" t="s">
        <v>207</v>
      </c>
      <c r="B32" s="308">
        <v>30</v>
      </c>
      <c r="C32" s="310" t="s">
        <v>140</v>
      </c>
      <c r="D32" s="162" t="s">
        <v>193</v>
      </c>
      <c r="E32" s="310" t="s">
        <v>208</v>
      </c>
      <c r="F32" s="310"/>
      <c r="G32" s="162"/>
      <c r="H32" s="162"/>
      <c r="I32" s="310">
        <v>30</v>
      </c>
      <c r="J32" s="319"/>
      <c r="K32" s="320">
        <v>1</v>
      </c>
      <c r="L32" s="320"/>
      <c r="M32" s="311">
        <v>1</v>
      </c>
      <c r="N32" s="163">
        <v>26</v>
      </c>
      <c r="O32" s="311">
        <v>2</v>
      </c>
      <c r="P32" s="311">
        <v>4</v>
      </c>
      <c r="Q32" s="163">
        <v>8</v>
      </c>
      <c r="R32" s="311"/>
      <c r="S32" s="311"/>
      <c r="T32" s="311"/>
      <c r="U32" s="311">
        <f>SUM(tblBacklog[[#This Row],[Funcional]:[PC QA]])</f>
        <v>14</v>
      </c>
      <c r="V32" s="311"/>
      <c r="W32" s="319"/>
      <c r="X32" s="321"/>
      <c r="Y32" s="322" t="s">
        <v>143</v>
      </c>
    </row>
    <row r="33" spans="1:25" ht="15">
      <c r="A33" s="360"/>
      <c r="B33" s="361"/>
      <c r="C33" s="351"/>
      <c r="D33" s="362"/>
      <c r="E33" s="351"/>
      <c r="F33" s="363"/>
      <c r="G33" s="364"/>
      <c r="H33" s="351"/>
      <c r="I33" s="351">
        <v>31</v>
      </c>
      <c r="J33" s="352"/>
      <c r="K33" s="353"/>
      <c r="L33" s="353"/>
      <c r="M33" s="354"/>
      <c r="N33" s="354"/>
      <c r="O33" s="354"/>
      <c r="P33" s="354"/>
      <c r="Q33" s="354"/>
      <c r="R33" s="354"/>
      <c r="S33" s="354"/>
      <c r="T33" s="354"/>
      <c r="U33" s="365">
        <f>SUM(tblBacklog[[#This Row],[Funcional]:[PC QA]])</f>
        <v>0</v>
      </c>
      <c r="V33" s="354"/>
      <c r="W33" s="352"/>
      <c r="X33" s="355"/>
      <c r="Y33" s="354"/>
    </row>
    <row r="34" spans="1:25" ht="15">
      <c r="A34" s="366"/>
      <c r="B34" s="361"/>
      <c r="C34" s="351"/>
      <c r="D34" s="362"/>
      <c r="E34" s="351"/>
      <c r="F34" s="363"/>
      <c r="G34" s="364"/>
      <c r="H34" s="351"/>
      <c r="I34" s="351">
        <v>32</v>
      </c>
      <c r="J34" s="352"/>
      <c r="K34" s="353"/>
      <c r="L34" s="353"/>
      <c r="M34" s="354"/>
      <c r="N34" s="354"/>
      <c r="O34" s="354"/>
      <c r="P34" s="354"/>
      <c r="Q34" s="354"/>
      <c r="R34" s="354"/>
      <c r="S34" s="354"/>
      <c r="T34" s="354"/>
      <c r="U34" s="365">
        <f>SUM(tblBacklog[[#This Row],[Funcional]:[PC QA]])</f>
        <v>0</v>
      </c>
      <c r="V34" s="354"/>
      <c r="W34" s="352"/>
      <c r="X34" s="355"/>
      <c r="Y34" s="354"/>
    </row>
    <row r="35" spans="1:25" ht="15">
      <c r="A35" s="367"/>
      <c r="B35" s="361"/>
      <c r="C35" s="351"/>
      <c r="D35" s="362"/>
      <c r="E35" s="351"/>
      <c r="F35" s="363"/>
      <c r="G35" s="364"/>
      <c r="H35" s="351"/>
      <c r="I35" s="351">
        <v>33</v>
      </c>
      <c r="J35" s="352"/>
      <c r="K35" s="353"/>
      <c r="L35" s="353"/>
      <c r="M35" s="354"/>
      <c r="N35" s="354"/>
      <c r="O35" s="354"/>
      <c r="P35" s="354"/>
      <c r="Q35" s="354"/>
      <c r="R35" s="354"/>
      <c r="S35" s="354"/>
      <c r="T35" s="354"/>
      <c r="U35" s="365">
        <f>SUM(tblBacklog[[#This Row],[Funcional]:[PC QA]])</f>
        <v>0</v>
      </c>
      <c r="V35" s="354"/>
      <c r="W35" s="352"/>
      <c r="X35" s="355"/>
      <c r="Y35" s="354"/>
    </row>
    <row r="36" spans="1:25" ht="15">
      <c r="A36" s="368"/>
      <c r="B36" s="361"/>
      <c r="C36" s="351"/>
      <c r="D36" s="362"/>
      <c r="E36" s="351"/>
      <c r="F36" s="363"/>
      <c r="G36" s="364"/>
      <c r="H36" s="351"/>
      <c r="I36" s="351">
        <v>34</v>
      </c>
      <c r="J36" s="352"/>
      <c r="K36" s="353"/>
      <c r="L36" s="353"/>
      <c r="M36" s="354"/>
      <c r="N36" s="354"/>
      <c r="O36" s="354"/>
      <c r="P36" s="354"/>
      <c r="Q36" s="354"/>
      <c r="R36" s="354"/>
      <c r="S36" s="354"/>
      <c r="T36" s="354"/>
      <c r="U36" s="365">
        <f>SUM(tblBacklog[[#This Row],[Funcional]:[PC QA]])</f>
        <v>0</v>
      </c>
      <c r="V36" s="354"/>
      <c r="W36" s="352"/>
      <c r="X36" s="355"/>
      <c r="Y36" s="354"/>
    </row>
    <row r="37" spans="1:25" ht="15">
      <c r="A37" s="369"/>
      <c r="B37" s="361"/>
      <c r="C37" s="351"/>
      <c r="D37" s="362"/>
      <c r="E37" s="351"/>
      <c r="F37" s="363"/>
      <c r="G37" s="364"/>
      <c r="H37" s="351"/>
      <c r="I37" s="351">
        <v>35</v>
      </c>
      <c r="J37" s="352"/>
      <c r="K37" s="353"/>
      <c r="L37" s="353"/>
      <c r="M37" s="354"/>
      <c r="N37" s="354"/>
      <c r="O37" s="354"/>
      <c r="P37" s="354"/>
      <c r="Q37" s="354"/>
      <c r="R37" s="354"/>
      <c r="S37" s="354"/>
      <c r="T37" s="354"/>
      <c r="U37" s="365">
        <f>SUM(tblBacklog[[#This Row],[Funcional]:[PC QA]])</f>
        <v>0</v>
      </c>
      <c r="V37" s="354"/>
      <c r="W37" s="352"/>
      <c r="X37" s="355"/>
      <c r="Y37" s="354"/>
    </row>
    <row r="38" spans="1:25" ht="15">
      <c r="A38" s="370"/>
      <c r="B38" s="361"/>
      <c r="C38" s="351"/>
      <c r="D38" s="362"/>
      <c r="E38" s="351"/>
      <c r="F38" s="363"/>
      <c r="G38" s="364"/>
      <c r="H38" s="351"/>
      <c r="I38" s="351">
        <v>36</v>
      </c>
      <c r="J38" s="352"/>
      <c r="K38" s="353"/>
      <c r="L38" s="353"/>
      <c r="M38" s="354"/>
      <c r="N38" s="354"/>
      <c r="O38" s="354"/>
      <c r="P38" s="354"/>
      <c r="Q38" s="354"/>
      <c r="R38" s="354"/>
      <c r="S38" s="354"/>
      <c r="T38" s="354"/>
      <c r="U38" s="365">
        <f>SUM(tblBacklog[[#This Row],[Funcional]:[PC QA]])</f>
        <v>0</v>
      </c>
      <c r="V38" s="354"/>
      <c r="W38" s="352"/>
      <c r="X38" s="355"/>
      <c r="Y38" s="354"/>
    </row>
    <row r="39" spans="1:25" ht="15">
      <c r="A39" s="371"/>
      <c r="B39" s="361"/>
      <c r="C39" s="351"/>
      <c r="D39" s="362"/>
      <c r="E39" s="351"/>
      <c r="F39" s="363"/>
      <c r="G39" s="364"/>
      <c r="H39" s="351"/>
      <c r="I39" s="351">
        <v>37</v>
      </c>
      <c r="J39" s="352"/>
      <c r="K39" s="353"/>
      <c r="L39" s="353"/>
      <c r="M39" s="354"/>
      <c r="N39" s="354"/>
      <c r="O39" s="354"/>
      <c r="P39" s="354"/>
      <c r="Q39" s="354"/>
      <c r="R39" s="354"/>
      <c r="S39" s="354"/>
      <c r="T39" s="354"/>
      <c r="U39" s="365">
        <f>SUM(tblBacklog[[#This Row],[Funcional]:[PC QA]])</f>
        <v>0</v>
      </c>
      <c r="V39" s="354"/>
      <c r="W39" s="352"/>
      <c r="X39" s="355"/>
      <c r="Y39" s="354"/>
    </row>
    <row r="40" spans="1:25" ht="15">
      <c r="A40" s="372"/>
      <c r="B40" s="361"/>
      <c r="C40" s="351"/>
      <c r="D40" s="362"/>
      <c r="E40" s="351"/>
      <c r="F40" s="363"/>
      <c r="G40" s="364"/>
      <c r="H40" s="351"/>
      <c r="I40" s="351">
        <v>38</v>
      </c>
      <c r="J40" s="352"/>
      <c r="K40" s="353"/>
      <c r="L40" s="353"/>
      <c r="M40" s="354"/>
      <c r="N40" s="354"/>
      <c r="O40" s="354"/>
      <c r="P40" s="354"/>
      <c r="Q40" s="354"/>
      <c r="R40" s="354"/>
      <c r="S40" s="354"/>
      <c r="T40" s="354"/>
      <c r="U40" s="365">
        <f>SUM(tblBacklog[[#This Row],[Funcional]:[PC QA]])</f>
        <v>0</v>
      </c>
      <c r="V40" s="354"/>
      <c r="W40" s="352"/>
      <c r="X40" s="355"/>
      <c r="Y40" s="354"/>
    </row>
    <row r="41" spans="1:25" ht="15">
      <c r="A41" s="373"/>
      <c r="B41" s="361"/>
      <c r="C41" s="351"/>
      <c r="D41" s="362"/>
      <c r="E41" s="351"/>
      <c r="F41" s="363"/>
      <c r="G41" s="364"/>
      <c r="H41" s="351"/>
      <c r="I41" s="351">
        <v>39</v>
      </c>
      <c r="J41" s="352"/>
      <c r="K41" s="353"/>
      <c r="L41" s="353"/>
      <c r="M41" s="354"/>
      <c r="N41" s="354"/>
      <c r="O41" s="354"/>
      <c r="P41" s="354"/>
      <c r="Q41" s="354"/>
      <c r="R41" s="354"/>
      <c r="S41" s="354"/>
      <c r="T41" s="354"/>
      <c r="U41" s="365">
        <f>SUM(tblBacklog[[#This Row],[Funcional]:[PC QA]])</f>
        <v>0</v>
      </c>
      <c r="V41" s="354"/>
      <c r="W41" s="352"/>
      <c r="X41" s="355"/>
      <c r="Y41" s="354"/>
    </row>
    <row r="42" spans="1:25" ht="15">
      <c r="A42" s="374"/>
      <c r="B42" s="361"/>
      <c r="C42" s="351"/>
      <c r="D42" s="362"/>
      <c r="E42" s="351"/>
      <c r="F42" s="363"/>
      <c r="G42" s="364"/>
      <c r="H42" s="351"/>
      <c r="I42" s="351">
        <v>40</v>
      </c>
      <c r="J42" s="352"/>
      <c r="K42" s="353"/>
      <c r="L42" s="353"/>
      <c r="M42" s="354"/>
      <c r="N42" s="354"/>
      <c r="O42" s="354"/>
      <c r="P42" s="354"/>
      <c r="Q42" s="354"/>
      <c r="R42" s="354"/>
      <c r="S42" s="354"/>
      <c r="T42" s="354"/>
      <c r="U42" s="365">
        <f>SUM(tblBacklog[[#This Row],[Funcional]:[PC QA]])</f>
        <v>0</v>
      </c>
      <c r="V42" s="354"/>
      <c r="W42" s="352"/>
      <c r="X42" s="355"/>
      <c r="Y42" s="354"/>
    </row>
    <row r="43" spans="1:25" ht="15">
      <c r="A43" s="375"/>
      <c r="B43" s="361"/>
      <c r="C43" s="351"/>
      <c r="D43" s="362"/>
      <c r="E43" s="351"/>
      <c r="F43" s="363"/>
      <c r="G43" s="364"/>
      <c r="H43" s="351"/>
      <c r="I43" s="351">
        <v>41</v>
      </c>
      <c r="J43" s="352"/>
      <c r="K43" s="353"/>
      <c r="L43" s="353"/>
      <c r="M43" s="354"/>
      <c r="N43" s="354"/>
      <c r="O43" s="354"/>
      <c r="P43" s="354"/>
      <c r="Q43" s="354"/>
      <c r="R43" s="354"/>
      <c r="S43" s="354"/>
      <c r="T43" s="354"/>
      <c r="U43" s="365">
        <f>SUM(tblBacklog[[#This Row],[Funcional]:[PC QA]])</f>
        <v>0</v>
      </c>
      <c r="V43" s="354"/>
      <c r="W43" s="352"/>
      <c r="X43" s="355"/>
      <c r="Y43" s="354"/>
    </row>
    <row r="44" spans="1:25" ht="15">
      <c r="A44" s="376"/>
      <c r="B44" s="361"/>
      <c r="C44" s="351"/>
      <c r="D44" s="362"/>
      <c r="E44" s="351"/>
      <c r="F44" s="363"/>
      <c r="G44" s="364"/>
      <c r="H44" s="351"/>
      <c r="I44" s="351">
        <v>42</v>
      </c>
      <c r="J44" s="352"/>
      <c r="K44" s="353"/>
      <c r="L44" s="353"/>
      <c r="M44" s="354"/>
      <c r="N44" s="354"/>
      <c r="O44" s="354"/>
      <c r="P44" s="354"/>
      <c r="Q44" s="354"/>
      <c r="R44" s="354"/>
      <c r="S44" s="354"/>
      <c r="T44" s="354"/>
      <c r="U44" s="365">
        <f>SUM(tblBacklog[[#This Row],[Funcional]:[PC QA]])</f>
        <v>0</v>
      </c>
      <c r="V44" s="354"/>
      <c r="W44" s="352"/>
      <c r="X44" s="355"/>
      <c r="Y44" s="354"/>
    </row>
    <row r="45" spans="1:25" ht="15">
      <c r="A45" s="377"/>
      <c r="B45" s="361"/>
      <c r="C45" s="351"/>
      <c r="D45" s="362"/>
      <c r="E45" s="351"/>
      <c r="F45" s="363"/>
      <c r="G45" s="364"/>
      <c r="H45" s="351"/>
      <c r="I45" s="351">
        <v>43</v>
      </c>
      <c r="J45" s="352"/>
      <c r="K45" s="353"/>
      <c r="L45" s="353"/>
      <c r="M45" s="354"/>
      <c r="N45" s="354"/>
      <c r="O45" s="354"/>
      <c r="P45" s="354"/>
      <c r="Q45" s="354"/>
      <c r="R45" s="354"/>
      <c r="S45" s="354"/>
      <c r="T45" s="354"/>
      <c r="U45" s="365">
        <f>SUM(tblBacklog[[#This Row],[Funcional]:[PC QA]])</f>
        <v>0</v>
      </c>
      <c r="V45" s="354"/>
      <c r="W45" s="352"/>
      <c r="X45" s="355"/>
      <c r="Y45" s="354"/>
    </row>
    <row r="46" spans="1:25" ht="15">
      <c r="A46" s="378"/>
      <c r="B46" s="361"/>
      <c r="C46" s="351"/>
      <c r="D46" s="362"/>
      <c r="E46" s="351"/>
      <c r="F46" s="363"/>
      <c r="G46" s="364"/>
      <c r="H46" s="351"/>
      <c r="I46" s="351">
        <v>44</v>
      </c>
      <c r="J46" s="352"/>
      <c r="K46" s="353"/>
      <c r="L46" s="353"/>
      <c r="M46" s="354"/>
      <c r="N46" s="354"/>
      <c r="O46" s="354"/>
      <c r="P46" s="354"/>
      <c r="Q46" s="354"/>
      <c r="R46" s="354"/>
      <c r="S46" s="354"/>
      <c r="T46" s="354"/>
      <c r="U46" s="365">
        <f>SUM(tblBacklog[[#This Row],[Funcional]:[PC QA]])</f>
        <v>0</v>
      </c>
      <c r="V46" s="354"/>
      <c r="W46" s="352"/>
      <c r="X46" s="355"/>
      <c r="Y46" s="354"/>
    </row>
    <row r="47" spans="1:25" ht="15">
      <c r="A47" s="379"/>
      <c r="B47" s="361"/>
      <c r="C47" s="351"/>
      <c r="D47" s="362"/>
      <c r="E47" s="351"/>
      <c r="F47" s="363"/>
      <c r="G47" s="364"/>
      <c r="H47" s="351"/>
      <c r="I47" s="351">
        <v>45</v>
      </c>
      <c r="J47" s="352"/>
      <c r="K47" s="353"/>
      <c r="L47" s="353"/>
      <c r="M47" s="354"/>
      <c r="N47" s="354"/>
      <c r="O47" s="354"/>
      <c r="P47" s="354"/>
      <c r="Q47" s="354"/>
      <c r="R47" s="354"/>
      <c r="S47" s="354"/>
      <c r="T47" s="354"/>
      <c r="U47" s="365">
        <f>SUM(tblBacklog[[#This Row],[Funcional]:[PC QA]])</f>
        <v>0</v>
      </c>
      <c r="V47" s="354"/>
      <c r="W47" s="352"/>
      <c r="X47" s="355"/>
      <c r="Y47" s="354"/>
    </row>
    <row r="48" spans="1:25" ht="15">
      <c r="A48" s="380"/>
      <c r="B48" s="361"/>
      <c r="C48" s="351"/>
      <c r="D48" s="362"/>
      <c r="E48" s="351"/>
      <c r="F48" s="363"/>
      <c r="G48" s="364"/>
      <c r="H48" s="351"/>
      <c r="I48" s="351">
        <v>46</v>
      </c>
      <c r="J48" s="352"/>
      <c r="K48" s="353"/>
      <c r="L48" s="353"/>
      <c r="M48" s="354"/>
      <c r="N48" s="354"/>
      <c r="O48" s="354"/>
      <c r="P48" s="354"/>
      <c r="Q48" s="354"/>
      <c r="R48" s="354"/>
      <c r="S48" s="354"/>
      <c r="T48" s="354"/>
      <c r="U48" s="365">
        <f>SUM(tblBacklog[[#This Row],[Funcional]:[PC QA]])</f>
        <v>0</v>
      </c>
      <c r="V48" s="354"/>
      <c r="W48" s="352"/>
      <c r="X48" s="355"/>
      <c r="Y48" s="354"/>
    </row>
    <row r="49" spans="1:25" ht="15">
      <c r="A49" s="381"/>
      <c r="B49" s="361"/>
      <c r="C49" s="351"/>
      <c r="D49" s="362"/>
      <c r="E49" s="351"/>
      <c r="F49" s="363"/>
      <c r="G49" s="364"/>
      <c r="H49" s="351"/>
      <c r="I49" s="351">
        <v>47</v>
      </c>
      <c r="J49" s="352"/>
      <c r="K49" s="353"/>
      <c r="L49" s="353"/>
      <c r="M49" s="354"/>
      <c r="N49" s="354"/>
      <c r="O49" s="354"/>
      <c r="P49" s="354"/>
      <c r="Q49" s="354"/>
      <c r="R49" s="354"/>
      <c r="S49" s="354"/>
      <c r="T49" s="354"/>
      <c r="U49" s="365">
        <f>SUM(tblBacklog[[#This Row],[Funcional]:[PC QA]])</f>
        <v>0</v>
      </c>
      <c r="V49" s="354"/>
      <c r="W49" s="352"/>
      <c r="X49" s="355"/>
      <c r="Y49" s="354"/>
    </row>
    <row r="50" spans="1:25" ht="15">
      <c r="A50" s="382"/>
      <c r="B50" s="361"/>
      <c r="C50" s="351"/>
      <c r="D50" s="362"/>
      <c r="E50" s="351"/>
      <c r="F50" s="363"/>
      <c r="G50" s="364"/>
      <c r="H50" s="351"/>
      <c r="I50" s="351">
        <v>48</v>
      </c>
      <c r="J50" s="352"/>
      <c r="K50" s="353"/>
      <c r="L50" s="353"/>
      <c r="M50" s="354"/>
      <c r="N50" s="354"/>
      <c r="O50" s="354"/>
      <c r="P50" s="354"/>
      <c r="Q50" s="354"/>
      <c r="R50" s="354"/>
      <c r="S50" s="354"/>
      <c r="T50" s="354"/>
      <c r="U50" s="365">
        <f>SUM(tblBacklog[[#This Row],[Funcional]:[PC QA]])</f>
        <v>0</v>
      </c>
      <c r="V50" s="354"/>
      <c r="W50" s="352"/>
      <c r="X50" s="355"/>
      <c r="Y50" s="354"/>
    </row>
    <row r="51" spans="1:25" ht="15">
      <c r="A51" s="383"/>
      <c r="B51" s="361"/>
      <c r="C51" s="351"/>
      <c r="D51" s="362"/>
      <c r="E51" s="351"/>
      <c r="F51" s="363"/>
      <c r="G51" s="364"/>
      <c r="H51" s="351"/>
      <c r="I51" s="351">
        <v>49</v>
      </c>
      <c r="J51" s="352"/>
      <c r="K51" s="353"/>
      <c r="L51" s="353"/>
      <c r="M51" s="354"/>
      <c r="N51" s="354"/>
      <c r="O51" s="354"/>
      <c r="P51" s="354"/>
      <c r="Q51" s="354"/>
      <c r="R51" s="354"/>
      <c r="S51" s="354"/>
      <c r="T51" s="354"/>
      <c r="U51" s="365">
        <f>SUM(tblBacklog[[#This Row],[Funcional]:[PC QA]])</f>
        <v>0</v>
      </c>
      <c r="V51" s="354"/>
      <c r="W51" s="352"/>
      <c r="X51" s="355"/>
      <c r="Y51" s="354"/>
    </row>
    <row r="52" spans="1:25" ht="15">
      <c r="A52" s="384"/>
      <c r="B52" s="361"/>
      <c r="C52" s="351"/>
      <c r="D52" s="362"/>
      <c r="E52" s="351"/>
      <c r="F52" s="363"/>
      <c r="G52" s="364"/>
      <c r="H52" s="351"/>
      <c r="I52" s="351">
        <v>50</v>
      </c>
      <c r="J52" s="352"/>
      <c r="K52" s="353"/>
      <c r="L52" s="353"/>
      <c r="M52" s="354"/>
      <c r="N52" s="354"/>
      <c r="O52" s="354"/>
      <c r="P52" s="354"/>
      <c r="Q52" s="354"/>
      <c r="R52" s="354"/>
      <c r="S52" s="354"/>
      <c r="T52" s="354"/>
      <c r="U52" s="365">
        <f>SUM(tblBacklog[[#This Row],[Funcional]:[PC QA]])</f>
        <v>0</v>
      </c>
      <c r="V52" s="354"/>
      <c r="W52" s="352"/>
      <c r="X52" s="355"/>
      <c r="Y52" s="354"/>
    </row>
    <row r="53" spans="1:25" ht="15">
      <c r="A53" s="370"/>
      <c r="B53" s="361"/>
      <c r="C53" s="351"/>
      <c r="D53" s="362"/>
      <c r="E53" s="351"/>
      <c r="F53" s="363"/>
      <c r="G53" s="364"/>
      <c r="H53" s="351"/>
      <c r="I53" s="351">
        <v>51</v>
      </c>
      <c r="J53" s="352"/>
      <c r="K53" s="353"/>
      <c r="L53" s="353"/>
      <c r="M53" s="354"/>
      <c r="N53" s="354"/>
      <c r="O53" s="354"/>
      <c r="P53" s="354"/>
      <c r="Q53" s="354"/>
      <c r="R53" s="354"/>
      <c r="S53" s="354"/>
      <c r="T53" s="354"/>
      <c r="U53" s="365">
        <f>SUM(tblBacklog[[#This Row],[Funcional]:[PC QA]])</f>
        <v>0</v>
      </c>
      <c r="V53" s="354"/>
      <c r="W53" s="352"/>
      <c r="X53" s="355"/>
      <c r="Y53" s="354"/>
    </row>
    <row r="54" spans="1:25" ht="15">
      <c r="A54" s="385"/>
      <c r="B54" s="361"/>
      <c r="C54" s="351"/>
      <c r="D54" s="362"/>
      <c r="E54" s="351"/>
      <c r="F54" s="363"/>
      <c r="G54" s="364"/>
      <c r="H54" s="351"/>
      <c r="I54" s="351">
        <v>52</v>
      </c>
      <c r="J54" s="352"/>
      <c r="K54" s="353"/>
      <c r="L54" s="353"/>
      <c r="M54" s="354"/>
      <c r="N54" s="354"/>
      <c r="O54" s="354"/>
      <c r="P54" s="354"/>
      <c r="Q54" s="354"/>
      <c r="R54" s="354"/>
      <c r="S54" s="354"/>
      <c r="T54" s="354"/>
      <c r="U54" s="365">
        <f>SUM(tblBacklog[[#This Row],[Funcional]:[PC QA]])</f>
        <v>0</v>
      </c>
      <c r="V54" s="354"/>
      <c r="W54" s="352"/>
      <c r="X54" s="355"/>
      <c r="Y54" s="354"/>
    </row>
    <row r="55" spans="1:25" ht="15">
      <c r="A55" s="386"/>
      <c r="B55" s="361"/>
      <c r="C55" s="351"/>
      <c r="D55" s="362"/>
      <c r="E55" s="351"/>
      <c r="F55" s="363"/>
      <c r="G55" s="364"/>
      <c r="H55" s="351"/>
      <c r="I55" s="351">
        <v>53</v>
      </c>
      <c r="J55" s="352"/>
      <c r="K55" s="353"/>
      <c r="L55" s="353"/>
      <c r="M55" s="354"/>
      <c r="N55" s="354"/>
      <c r="O55" s="354"/>
      <c r="P55" s="354"/>
      <c r="Q55" s="354"/>
      <c r="R55" s="354"/>
      <c r="S55" s="354"/>
      <c r="T55" s="354"/>
      <c r="U55" s="365">
        <f>SUM(tblBacklog[[#This Row],[Funcional]:[PC QA]])</f>
        <v>0</v>
      </c>
      <c r="V55" s="354"/>
      <c r="W55" s="352"/>
      <c r="X55" s="355"/>
      <c r="Y55" s="354"/>
    </row>
    <row r="56" spans="1:25" ht="15">
      <c r="A56" s="387"/>
      <c r="B56" s="361"/>
      <c r="C56" s="351"/>
      <c r="D56" s="362"/>
      <c r="E56" s="351"/>
      <c r="F56" s="363"/>
      <c r="G56" s="364"/>
      <c r="H56" s="351"/>
      <c r="I56" s="351">
        <v>54</v>
      </c>
      <c r="J56" s="352"/>
      <c r="K56" s="353"/>
      <c r="L56" s="353"/>
      <c r="M56" s="354"/>
      <c r="N56" s="354"/>
      <c r="O56" s="354"/>
      <c r="P56" s="354"/>
      <c r="Q56" s="354"/>
      <c r="R56" s="354"/>
      <c r="S56" s="354"/>
      <c r="T56" s="354"/>
      <c r="U56" s="365">
        <f>SUM(tblBacklog[[#This Row],[Funcional]:[PC QA]])</f>
        <v>0</v>
      </c>
      <c r="V56" s="354"/>
      <c r="W56" s="352"/>
      <c r="X56" s="355"/>
      <c r="Y56" s="354"/>
    </row>
    <row r="57" spans="1:25" ht="15">
      <c r="A57" s="368"/>
      <c r="B57" s="361"/>
      <c r="C57" s="351"/>
      <c r="D57" s="362"/>
      <c r="E57" s="351"/>
      <c r="F57" s="363"/>
      <c r="G57" s="364"/>
      <c r="H57" s="351"/>
      <c r="I57" s="351">
        <v>55</v>
      </c>
      <c r="J57" s="352"/>
      <c r="K57" s="353"/>
      <c r="L57" s="353"/>
      <c r="M57" s="354"/>
      <c r="N57" s="354"/>
      <c r="O57" s="354"/>
      <c r="P57" s="354"/>
      <c r="Q57" s="354"/>
      <c r="R57" s="354"/>
      <c r="S57" s="354"/>
      <c r="T57" s="354"/>
      <c r="U57" s="365">
        <f>SUM(tblBacklog[[#This Row],[Funcional]:[PC QA]])</f>
        <v>0</v>
      </c>
      <c r="V57" s="354"/>
      <c r="W57" s="352"/>
      <c r="X57" s="355"/>
      <c r="Y57" s="354"/>
    </row>
    <row r="58" spans="1:25" ht="15">
      <c r="A58" s="388"/>
      <c r="B58" s="361"/>
      <c r="C58" s="351"/>
      <c r="D58" s="362"/>
      <c r="E58" s="351"/>
      <c r="F58" s="363"/>
      <c r="G58" s="364"/>
      <c r="H58" s="351"/>
      <c r="I58" s="351">
        <v>56</v>
      </c>
      <c r="J58" s="352"/>
      <c r="K58" s="353"/>
      <c r="L58" s="353"/>
      <c r="M58" s="354"/>
      <c r="N58" s="354"/>
      <c r="O58" s="354"/>
      <c r="P58" s="354"/>
      <c r="Q58" s="354"/>
      <c r="R58" s="354"/>
      <c r="S58" s="354"/>
      <c r="T58" s="354"/>
      <c r="U58" s="365">
        <f>SUM(tblBacklog[[#This Row],[Funcional]:[PC QA]])</f>
        <v>0</v>
      </c>
      <c r="V58" s="354"/>
      <c r="W58" s="352"/>
      <c r="X58" s="355"/>
      <c r="Y58" s="354"/>
    </row>
    <row r="59" spans="1:25" ht="15">
      <c r="A59" s="389"/>
      <c r="B59" s="361"/>
      <c r="C59" s="351"/>
      <c r="D59" s="362"/>
      <c r="E59" s="351"/>
      <c r="F59" s="363"/>
      <c r="G59" s="364"/>
      <c r="H59" s="351"/>
      <c r="I59" s="351">
        <v>57</v>
      </c>
      <c r="J59" s="352"/>
      <c r="K59" s="353"/>
      <c r="L59" s="353"/>
      <c r="M59" s="354"/>
      <c r="N59" s="354"/>
      <c r="O59" s="354"/>
      <c r="P59" s="354"/>
      <c r="Q59" s="354"/>
      <c r="R59" s="354"/>
      <c r="S59" s="354"/>
      <c r="T59" s="354"/>
      <c r="U59" s="365">
        <f>SUM(tblBacklog[[#This Row],[Funcional]:[PC QA]])</f>
        <v>0</v>
      </c>
      <c r="V59" s="354"/>
      <c r="W59" s="352"/>
      <c r="X59" s="355"/>
      <c r="Y59" s="354"/>
    </row>
    <row r="60" spans="1:25" ht="15">
      <c r="A60" s="390"/>
      <c r="B60" s="361"/>
      <c r="C60" s="351"/>
      <c r="D60" s="362"/>
      <c r="E60" s="351"/>
      <c r="F60" s="363"/>
      <c r="G60" s="364"/>
      <c r="H60" s="351"/>
      <c r="I60" s="351">
        <v>58</v>
      </c>
      <c r="J60" s="352"/>
      <c r="K60" s="353"/>
      <c r="L60" s="353"/>
      <c r="M60" s="354"/>
      <c r="N60" s="354"/>
      <c r="O60" s="354"/>
      <c r="P60" s="354"/>
      <c r="Q60" s="354"/>
      <c r="R60" s="354"/>
      <c r="S60" s="354"/>
      <c r="T60" s="354"/>
      <c r="U60" s="365">
        <f>SUM(tblBacklog[[#This Row],[Funcional]:[PC QA]])</f>
        <v>0</v>
      </c>
      <c r="V60" s="354"/>
      <c r="W60" s="352"/>
      <c r="X60" s="355"/>
      <c r="Y60" s="354"/>
    </row>
    <row r="61" spans="1:25" ht="15">
      <c r="A61" s="391"/>
      <c r="B61" s="361"/>
      <c r="C61" s="351"/>
      <c r="D61" s="362"/>
      <c r="E61" s="351"/>
      <c r="F61" s="363"/>
      <c r="G61" s="364"/>
      <c r="H61" s="351"/>
      <c r="I61" s="351">
        <v>59</v>
      </c>
      <c r="J61" s="352"/>
      <c r="K61" s="353"/>
      <c r="L61" s="353"/>
      <c r="M61" s="354"/>
      <c r="N61" s="354"/>
      <c r="O61" s="354"/>
      <c r="P61" s="354"/>
      <c r="Q61" s="354"/>
      <c r="R61" s="354"/>
      <c r="S61" s="354"/>
      <c r="T61" s="354"/>
      <c r="U61" s="365">
        <f>SUM(tblBacklog[[#This Row],[Funcional]:[PC QA]])</f>
        <v>0</v>
      </c>
      <c r="V61" s="354"/>
      <c r="W61" s="352"/>
      <c r="X61" s="355"/>
      <c r="Y61" s="354"/>
    </row>
    <row r="62" spans="1:25" ht="15">
      <c r="A62" s="364"/>
      <c r="B62" s="361"/>
      <c r="C62" s="351"/>
      <c r="D62" s="362"/>
      <c r="E62" s="351"/>
      <c r="F62" s="363"/>
      <c r="G62" s="364"/>
      <c r="H62" s="351"/>
      <c r="I62" s="351">
        <v>60</v>
      </c>
      <c r="J62" s="352"/>
      <c r="K62" s="353"/>
      <c r="L62" s="353"/>
      <c r="M62" s="354"/>
      <c r="N62" s="354"/>
      <c r="O62" s="354"/>
      <c r="P62" s="354"/>
      <c r="Q62" s="354"/>
      <c r="R62" s="354"/>
      <c r="S62" s="354"/>
      <c r="T62" s="354"/>
      <c r="U62" s="365">
        <f>SUM(tblBacklog[[#This Row],[Funcional]:[PC QA]])</f>
        <v>0</v>
      </c>
      <c r="V62" s="354"/>
      <c r="W62" s="352"/>
      <c r="X62" s="355"/>
      <c r="Y62" s="354"/>
    </row>
    <row r="63" spans="1:25" ht="15">
      <c r="A63" s="360"/>
      <c r="B63" s="361"/>
      <c r="C63" s="351"/>
      <c r="D63" s="362"/>
      <c r="E63" s="351"/>
      <c r="F63" s="363"/>
      <c r="G63" s="364"/>
      <c r="H63" s="351"/>
      <c r="I63" s="351">
        <v>61</v>
      </c>
      <c r="J63" s="352"/>
      <c r="K63" s="353"/>
      <c r="L63" s="353"/>
      <c r="M63" s="354"/>
      <c r="N63" s="354"/>
      <c r="O63" s="354"/>
      <c r="P63" s="354"/>
      <c r="Q63" s="354"/>
      <c r="R63" s="354"/>
      <c r="S63" s="354"/>
      <c r="T63" s="354"/>
      <c r="U63" s="365">
        <f>SUM(tblBacklog[[#This Row],[Funcional]:[PC QA]])</f>
        <v>0</v>
      </c>
      <c r="V63" s="354"/>
      <c r="W63" s="352"/>
      <c r="X63" s="355"/>
      <c r="Y63" s="354"/>
    </row>
    <row r="64" spans="1:25" ht="15">
      <c r="A64" s="366"/>
      <c r="B64" s="361"/>
      <c r="C64" s="351"/>
      <c r="D64" s="362"/>
      <c r="E64" s="351"/>
      <c r="F64" s="363"/>
      <c r="G64" s="364"/>
      <c r="H64" s="351"/>
      <c r="I64" s="351">
        <v>62</v>
      </c>
      <c r="J64" s="352"/>
      <c r="K64" s="353"/>
      <c r="L64" s="353"/>
      <c r="M64" s="354"/>
      <c r="N64" s="354"/>
      <c r="O64" s="354"/>
      <c r="P64" s="354"/>
      <c r="Q64" s="354"/>
      <c r="R64" s="354"/>
      <c r="S64" s="354"/>
      <c r="T64" s="354"/>
      <c r="U64" s="365">
        <f>SUM(tblBacklog[[#This Row],[Funcional]:[PC QA]])</f>
        <v>0</v>
      </c>
      <c r="V64" s="354"/>
      <c r="W64" s="352"/>
      <c r="X64" s="355"/>
      <c r="Y64" s="354"/>
    </row>
    <row r="65" spans="1:25" ht="15">
      <c r="A65" s="367"/>
      <c r="B65" s="361"/>
      <c r="C65" s="351"/>
      <c r="D65" s="362"/>
      <c r="E65" s="351"/>
      <c r="F65" s="363"/>
      <c r="G65" s="364"/>
      <c r="H65" s="351"/>
      <c r="I65" s="351">
        <v>63</v>
      </c>
      <c r="J65" s="352"/>
      <c r="K65" s="353"/>
      <c r="L65" s="353"/>
      <c r="M65" s="354"/>
      <c r="N65" s="354"/>
      <c r="O65" s="354"/>
      <c r="P65" s="354"/>
      <c r="Q65" s="354"/>
      <c r="R65" s="354"/>
      <c r="S65" s="354"/>
      <c r="T65" s="354"/>
      <c r="U65" s="365">
        <f>SUM(tblBacklog[[#This Row],[Funcional]:[PC QA]])</f>
        <v>0</v>
      </c>
      <c r="V65" s="354"/>
      <c r="W65" s="352"/>
      <c r="X65" s="355"/>
      <c r="Y65" s="354"/>
    </row>
    <row r="66" spans="1:25" ht="15">
      <c r="A66" s="368"/>
      <c r="B66" s="361"/>
      <c r="C66" s="351"/>
      <c r="D66" s="362"/>
      <c r="E66" s="351"/>
      <c r="F66" s="363"/>
      <c r="G66" s="364"/>
      <c r="H66" s="351"/>
      <c r="I66" s="351">
        <v>64</v>
      </c>
      <c r="J66" s="352"/>
      <c r="K66" s="353"/>
      <c r="L66" s="353"/>
      <c r="M66" s="354"/>
      <c r="N66" s="354"/>
      <c r="O66" s="354"/>
      <c r="P66" s="354"/>
      <c r="Q66" s="354"/>
      <c r="R66" s="354"/>
      <c r="S66" s="354"/>
      <c r="T66" s="354"/>
      <c r="U66" s="365">
        <f>SUM(tblBacklog[[#This Row],[Funcional]:[PC QA]])</f>
        <v>0</v>
      </c>
      <c r="V66" s="354"/>
      <c r="W66" s="352"/>
      <c r="X66" s="355"/>
      <c r="Y66" s="354"/>
    </row>
    <row r="67" spans="1:25" ht="15">
      <c r="A67" s="369"/>
      <c r="B67" s="361"/>
      <c r="C67" s="351"/>
      <c r="D67" s="362"/>
      <c r="E67" s="351"/>
      <c r="F67" s="363"/>
      <c r="G67" s="364"/>
      <c r="H67" s="351"/>
      <c r="I67" s="351">
        <v>65</v>
      </c>
      <c r="J67" s="352"/>
      <c r="K67" s="353"/>
      <c r="L67" s="353"/>
      <c r="M67" s="354"/>
      <c r="N67" s="354"/>
      <c r="O67" s="354"/>
      <c r="P67" s="354"/>
      <c r="Q67" s="354"/>
      <c r="R67" s="354"/>
      <c r="S67" s="354"/>
      <c r="T67" s="354"/>
      <c r="U67" s="365">
        <f>SUM(tblBacklog[[#This Row],[Funcional]:[PC QA]])</f>
        <v>0</v>
      </c>
      <c r="V67" s="354"/>
      <c r="W67" s="352"/>
      <c r="X67" s="355"/>
      <c r="Y67" s="354"/>
    </row>
    <row r="68" spans="1:25" ht="15">
      <c r="A68" s="370"/>
      <c r="B68" s="361"/>
      <c r="C68" s="351"/>
      <c r="D68" s="362"/>
      <c r="E68" s="351"/>
      <c r="F68" s="363"/>
      <c r="G68" s="364"/>
      <c r="H68" s="351"/>
      <c r="I68" s="351">
        <v>66</v>
      </c>
      <c r="J68" s="352"/>
      <c r="K68" s="353"/>
      <c r="L68" s="353"/>
      <c r="M68" s="354"/>
      <c r="N68" s="354"/>
      <c r="O68" s="354"/>
      <c r="P68" s="354"/>
      <c r="Q68" s="354"/>
      <c r="R68" s="354"/>
      <c r="S68" s="354"/>
      <c r="T68" s="354"/>
      <c r="U68" s="365">
        <f>SUM(tblBacklog[[#This Row],[Funcional]:[PC QA]])</f>
        <v>0</v>
      </c>
      <c r="V68" s="354"/>
      <c r="W68" s="352"/>
      <c r="X68" s="355"/>
      <c r="Y68" s="354"/>
    </row>
    <row r="69" spans="1:25" ht="15">
      <c r="A69" s="371"/>
      <c r="B69" s="361"/>
      <c r="C69" s="351"/>
      <c r="D69" s="362"/>
      <c r="E69" s="351"/>
      <c r="F69" s="363"/>
      <c r="G69" s="364"/>
      <c r="H69" s="351"/>
      <c r="I69" s="351">
        <v>67</v>
      </c>
      <c r="J69" s="352"/>
      <c r="K69" s="353"/>
      <c r="L69" s="353"/>
      <c r="M69" s="354"/>
      <c r="N69" s="354"/>
      <c r="O69" s="354"/>
      <c r="P69" s="354"/>
      <c r="Q69" s="354"/>
      <c r="R69" s="354"/>
      <c r="S69" s="354"/>
      <c r="T69" s="354"/>
      <c r="U69" s="365">
        <f>SUM(tblBacklog[[#This Row],[Funcional]:[PC QA]])</f>
        <v>0</v>
      </c>
      <c r="V69" s="354"/>
      <c r="W69" s="352"/>
      <c r="X69" s="355"/>
      <c r="Y69" s="354"/>
    </row>
    <row r="70" spans="1:25" ht="15">
      <c r="A70" s="372"/>
      <c r="B70" s="361"/>
      <c r="C70" s="351"/>
      <c r="D70" s="362"/>
      <c r="E70" s="351"/>
      <c r="F70" s="363"/>
      <c r="G70" s="364"/>
      <c r="H70" s="351"/>
      <c r="I70" s="351">
        <v>68</v>
      </c>
      <c r="J70" s="352"/>
      <c r="K70" s="353"/>
      <c r="L70" s="353"/>
      <c r="M70" s="354"/>
      <c r="N70" s="354"/>
      <c r="O70" s="354"/>
      <c r="P70" s="354"/>
      <c r="Q70" s="354"/>
      <c r="R70" s="354"/>
      <c r="S70" s="354"/>
      <c r="T70" s="354"/>
      <c r="U70" s="365">
        <f>SUM(tblBacklog[[#This Row],[Funcional]:[PC QA]])</f>
        <v>0</v>
      </c>
      <c r="V70" s="354"/>
      <c r="W70" s="352"/>
      <c r="X70" s="355"/>
      <c r="Y70" s="354"/>
    </row>
    <row r="71" spans="1:25" ht="15">
      <c r="A71" s="373"/>
      <c r="B71" s="361"/>
      <c r="C71" s="351"/>
      <c r="D71" s="362"/>
      <c r="E71" s="351"/>
      <c r="F71" s="363"/>
      <c r="G71" s="364"/>
      <c r="H71" s="351"/>
      <c r="I71" s="351">
        <v>69</v>
      </c>
      <c r="J71" s="352"/>
      <c r="K71" s="353"/>
      <c r="L71" s="353"/>
      <c r="M71" s="354"/>
      <c r="N71" s="354"/>
      <c r="O71" s="354"/>
      <c r="P71" s="354"/>
      <c r="Q71" s="354"/>
      <c r="R71" s="354"/>
      <c r="S71" s="354"/>
      <c r="T71" s="354"/>
      <c r="U71" s="365">
        <f>SUM(tblBacklog[[#This Row],[Funcional]:[PC QA]])</f>
        <v>0</v>
      </c>
      <c r="V71" s="354"/>
      <c r="W71" s="352"/>
      <c r="X71" s="355"/>
      <c r="Y71" s="354"/>
    </row>
    <row r="72" spans="1:25" ht="15">
      <c r="A72" s="374"/>
      <c r="B72" s="361"/>
      <c r="C72" s="351"/>
      <c r="D72" s="362"/>
      <c r="E72" s="351"/>
      <c r="F72" s="363"/>
      <c r="G72" s="364"/>
      <c r="H72" s="351"/>
      <c r="I72" s="351">
        <v>70</v>
      </c>
      <c r="J72" s="352"/>
      <c r="K72" s="353"/>
      <c r="L72" s="353"/>
      <c r="M72" s="354"/>
      <c r="N72" s="354"/>
      <c r="O72" s="354"/>
      <c r="P72" s="354"/>
      <c r="Q72" s="354"/>
      <c r="R72" s="354"/>
      <c r="S72" s="354"/>
      <c r="T72" s="354"/>
      <c r="U72" s="365">
        <f>SUM(tblBacklog[[#This Row],[Funcional]:[PC QA]])</f>
        <v>0</v>
      </c>
      <c r="V72" s="354"/>
      <c r="W72" s="352"/>
      <c r="X72" s="355"/>
      <c r="Y72" s="354"/>
    </row>
    <row r="73" spans="1:25" ht="15">
      <c r="A73" s="375"/>
      <c r="B73" s="361"/>
      <c r="C73" s="351"/>
      <c r="D73" s="362"/>
      <c r="E73" s="351"/>
      <c r="F73" s="363"/>
      <c r="G73" s="364"/>
      <c r="H73" s="351"/>
      <c r="I73" s="351">
        <v>71</v>
      </c>
      <c r="J73" s="352"/>
      <c r="K73" s="353"/>
      <c r="L73" s="353"/>
      <c r="M73" s="354"/>
      <c r="N73" s="354"/>
      <c r="O73" s="354"/>
      <c r="P73" s="354"/>
      <c r="Q73" s="354"/>
      <c r="R73" s="354"/>
      <c r="S73" s="354"/>
      <c r="T73" s="354"/>
      <c r="U73" s="365">
        <f>SUM(tblBacklog[[#This Row],[Funcional]:[PC QA]])</f>
        <v>0</v>
      </c>
      <c r="V73" s="354"/>
      <c r="W73" s="352"/>
      <c r="X73" s="355"/>
      <c r="Y73" s="354"/>
    </row>
    <row r="74" spans="1:25" ht="15">
      <c r="A74" s="376"/>
      <c r="B74" s="361"/>
      <c r="C74" s="351"/>
      <c r="D74" s="362"/>
      <c r="E74" s="351"/>
      <c r="F74" s="363"/>
      <c r="G74" s="364"/>
      <c r="H74" s="351"/>
      <c r="I74" s="351">
        <v>72</v>
      </c>
      <c r="J74" s="352"/>
      <c r="K74" s="353"/>
      <c r="L74" s="353"/>
      <c r="M74" s="354"/>
      <c r="N74" s="354"/>
      <c r="O74" s="354"/>
      <c r="P74" s="354"/>
      <c r="Q74" s="354"/>
      <c r="R74" s="354"/>
      <c r="S74" s="354"/>
      <c r="T74" s="354"/>
      <c r="U74" s="365">
        <f>SUM(tblBacklog[[#This Row],[Funcional]:[PC QA]])</f>
        <v>0</v>
      </c>
      <c r="V74" s="354"/>
      <c r="W74" s="352"/>
      <c r="X74" s="355"/>
      <c r="Y74" s="354"/>
    </row>
    <row r="75" spans="1:25" ht="15">
      <c r="A75" s="377"/>
      <c r="B75" s="361"/>
      <c r="C75" s="351"/>
      <c r="D75" s="362"/>
      <c r="E75" s="351"/>
      <c r="F75" s="363"/>
      <c r="G75" s="364"/>
      <c r="H75" s="351"/>
      <c r="I75" s="351">
        <v>73</v>
      </c>
      <c r="J75" s="352"/>
      <c r="K75" s="353"/>
      <c r="L75" s="353"/>
      <c r="M75" s="354"/>
      <c r="N75" s="354"/>
      <c r="O75" s="354"/>
      <c r="P75" s="354"/>
      <c r="Q75" s="354"/>
      <c r="R75" s="354"/>
      <c r="S75" s="354"/>
      <c r="T75" s="354"/>
      <c r="U75" s="365">
        <f>SUM(tblBacklog[[#This Row],[Funcional]:[PC QA]])</f>
        <v>0</v>
      </c>
      <c r="V75" s="354"/>
      <c r="W75" s="352"/>
      <c r="X75" s="355"/>
      <c r="Y75" s="354"/>
    </row>
    <row r="76" spans="1:25" ht="15">
      <c r="A76" s="378"/>
      <c r="B76" s="361"/>
      <c r="C76" s="351"/>
      <c r="D76" s="362"/>
      <c r="E76" s="351"/>
      <c r="F76" s="363"/>
      <c r="G76" s="364"/>
      <c r="H76" s="351"/>
      <c r="I76" s="351">
        <v>74</v>
      </c>
      <c r="J76" s="352"/>
      <c r="K76" s="353"/>
      <c r="L76" s="353"/>
      <c r="M76" s="354"/>
      <c r="N76" s="354"/>
      <c r="O76" s="354"/>
      <c r="P76" s="354"/>
      <c r="Q76" s="354"/>
      <c r="R76" s="354"/>
      <c r="S76" s="354"/>
      <c r="T76" s="354"/>
      <c r="U76" s="365">
        <f>SUM(tblBacklog[[#This Row],[Funcional]:[PC QA]])</f>
        <v>0</v>
      </c>
      <c r="V76" s="354"/>
      <c r="W76" s="352"/>
      <c r="X76" s="355"/>
      <c r="Y76" s="354"/>
    </row>
    <row r="77" spans="1:25" ht="15">
      <c r="A77" s="379"/>
      <c r="B77" s="361"/>
      <c r="C77" s="351"/>
      <c r="D77" s="362"/>
      <c r="E77" s="351"/>
      <c r="F77" s="363"/>
      <c r="G77" s="364"/>
      <c r="H77" s="351"/>
      <c r="I77" s="351">
        <v>75</v>
      </c>
      <c r="J77" s="352"/>
      <c r="K77" s="353"/>
      <c r="L77" s="353"/>
      <c r="M77" s="354"/>
      <c r="N77" s="354"/>
      <c r="O77" s="354"/>
      <c r="P77" s="354"/>
      <c r="Q77" s="354"/>
      <c r="R77" s="354"/>
      <c r="S77" s="354"/>
      <c r="T77" s="354"/>
      <c r="U77" s="365">
        <f>SUM(tblBacklog[[#This Row],[Funcional]:[PC QA]])</f>
        <v>0</v>
      </c>
      <c r="V77" s="354"/>
      <c r="W77" s="352"/>
      <c r="X77" s="355"/>
      <c r="Y77" s="354"/>
    </row>
    <row r="78" spans="1:25" ht="15">
      <c r="A78" s="380"/>
      <c r="B78" s="361"/>
      <c r="C78" s="351"/>
      <c r="D78" s="362"/>
      <c r="E78" s="351"/>
      <c r="F78" s="363"/>
      <c r="G78" s="364"/>
      <c r="H78" s="351"/>
      <c r="I78" s="351">
        <v>76</v>
      </c>
      <c r="J78" s="352"/>
      <c r="K78" s="353"/>
      <c r="L78" s="353"/>
      <c r="M78" s="354"/>
      <c r="N78" s="354"/>
      <c r="O78" s="354"/>
      <c r="P78" s="354"/>
      <c r="Q78" s="354"/>
      <c r="R78" s="354"/>
      <c r="S78" s="354"/>
      <c r="T78" s="354"/>
      <c r="U78" s="365">
        <f>SUM(tblBacklog[[#This Row],[Funcional]:[PC QA]])</f>
        <v>0</v>
      </c>
      <c r="V78" s="354"/>
      <c r="W78" s="352"/>
      <c r="X78" s="355"/>
      <c r="Y78" s="354"/>
    </row>
    <row r="79" spans="1:25" ht="15">
      <c r="A79" s="381"/>
      <c r="B79" s="361"/>
      <c r="C79" s="351"/>
      <c r="D79" s="362"/>
      <c r="E79" s="351"/>
      <c r="F79" s="363"/>
      <c r="G79" s="364"/>
      <c r="H79" s="351"/>
      <c r="I79" s="351">
        <v>77</v>
      </c>
      <c r="J79" s="352"/>
      <c r="K79" s="353"/>
      <c r="L79" s="353"/>
      <c r="M79" s="354"/>
      <c r="N79" s="354"/>
      <c r="O79" s="354"/>
      <c r="P79" s="354"/>
      <c r="Q79" s="354"/>
      <c r="R79" s="354"/>
      <c r="S79" s="354"/>
      <c r="T79" s="354"/>
      <c r="U79" s="365">
        <f>SUM(tblBacklog[[#This Row],[Funcional]:[PC QA]])</f>
        <v>0</v>
      </c>
      <c r="V79" s="354"/>
      <c r="W79" s="352"/>
      <c r="X79" s="355"/>
      <c r="Y79" s="354"/>
    </row>
    <row r="80" spans="1:25" ht="15">
      <c r="A80" s="382"/>
      <c r="B80" s="361"/>
      <c r="C80" s="351"/>
      <c r="D80" s="362"/>
      <c r="E80" s="351"/>
      <c r="F80" s="363"/>
      <c r="G80" s="364"/>
      <c r="H80" s="351"/>
      <c r="I80" s="351">
        <v>78</v>
      </c>
      <c r="J80" s="352"/>
      <c r="K80" s="353"/>
      <c r="L80" s="353"/>
      <c r="M80" s="354"/>
      <c r="N80" s="354"/>
      <c r="O80" s="354"/>
      <c r="P80" s="354"/>
      <c r="Q80" s="354"/>
      <c r="R80" s="354"/>
      <c r="S80" s="354"/>
      <c r="T80" s="354"/>
      <c r="U80" s="365">
        <f>SUM(tblBacklog[[#This Row],[Funcional]:[PC QA]])</f>
        <v>0</v>
      </c>
      <c r="V80" s="354"/>
      <c r="W80" s="352"/>
      <c r="X80" s="355"/>
      <c r="Y80" s="354"/>
    </row>
    <row r="81" spans="1:25" ht="15">
      <c r="A81" s="383"/>
      <c r="B81" s="361"/>
      <c r="C81" s="351"/>
      <c r="D81" s="362"/>
      <c r="E81" s="351"/>
      <c r="F81" s="363"/>
      <c r="G81" s="364"/>
      <c r="H81" s="351"/>
      <c r="I81" s="351">
        <v>79</v>
      </c>
      <c r="J81" s="352"/>
      <c r="K81" s="353"/>
      <c r="L81" s="353"/>
      <c r="M81" s="354"/>
      <c r="N81" s="354"/>
      <c r="O81" s="354"/>
      <c r="P81" s="354"/>
      <c r="Q81" s="354"/>
      <c r="R81" s="354"/>
      <c r="S81" s="354"/>
      <c r="T81" s="354"/>
      <c r="U81" s="365">
        <f>SUM(tblBacklog[[#This Row],[Funcional]:[PC QA]])</f>
        <v>0</v>
      </c>
      <c r="V81" s="354"/>
      <c r="W81" s="352"/>
      <c r="X81" s="355"/>
      <c r="Y81" s="354"/>
    </row>
    <row r="82" spans="1:25" ht="15">
      <c r="A82" s="384"/>
      <c r="B82" s="361"/>
      <c r="C82" s="351"/>
      <c r="D82" s="362"/>
      <c r="E82" s="351"/>
      <c r="F82" s="363"/>
      <c r="G82" s="364"/>
      <c r="H82" s="351"/>
      <c r="I82" s="351">
        <v>80</v>
      </c>
      <c r="J82" s="352"/>
      <c r="K82" s="353"/>
      <c r="L82" s="353"/>
      <c r="M82" s="354"/>
      <c r="N82" s="354"/>
      <c r="O82" s="354"/>
      <c r="P82" s="354"/>
      <c r="Q82" s="354"/>
      <c r="R82" s="354"/>
      <c r="S82" s="354"/>
      <c r="T82" s="354"/>
      <c r="U82" s="365">
        <f>SUM(tblBacklog[[#This Row],[Funcional]:[PC QA]])</f>
        <v>0</v>
      </c>
      <c r="V82" s="354"/>
      <c r="W82" s="352"/>
      <c r="X82" s="355"/>
      <c r="Y82" s="354"/>
    </row>
    <row r="83" spans="1:25" ht="15">
      <c r="A83" s="370"/>
      <c r="B83" s="361"/>
      <c r="C83" s="351"/>
      <c r="D83" s="362"/>
      <c r="E83" s="351"/>
      <c r="F83" s="363"/>
      <c r="G83" s="364"/>
      <c r="H83" s="351"/>
      <c r="I83" s="351">
        <v>81</v>
      </c>
      <c r="J83" s="352"/>
      <c r="K83" s="353"/>
      <c r="L83" s="353"/>
      <c r="M83" s="354"/>
      <c r="N83" s="354"/>
      <c r="O83" s="354"/>
      <c r="P83" s="354"/>
      <c r="Q83" s="354"/>
      <c r="R83" s="354"/>
      <c r="S83" s="354"/>
      <c r="T83" s="354"/>
      <c r="U83" s="365">
        <f>SUM(tblBacklog[[#This Row],[Funcional]:[PC QA]])</f>
        <v>0</v>
      </c>
      <c r="V83" s="354"/>
      <c r="W83" s="352"/>
      <c r="X83" s="355"/>
      <c r="Y83" s="354"/>
    </row>
    <row r="84" spans="1:25" ht="15">
      <c r="A84" s="385"/>
      <c r="B84" s="361"/>
      <c r="C84" s="351"/>
      <c r="D84" s="362"/>
      <c r="E84" s="351"/>
      <c r="F84" s="363"/>
      <c r="G84" s="364"/>
      <c r="H84" s="351"/>
      <c r="I84" s="351">
        <v>82</v>
      </c>
      <c r="J84" s="352"/>
      <c r="K84" s="353"/>
      <c r="L84" s="353"/>
      <c r="M84" s="354"/>
      <c r="N84" s="354"/>
      <c r="O84" s="354"/>
      <c r="P84" s="354"/>
      <c r="Q84" s="354"/>
      <c r="R84" s="354"/>
      <c r="S84" s="354"/>
      <c r="T84" s="354"/>
      <c r="U84" s="365">
        <f>SUM(tblBacklog[[#This Row],[Funcional]:[PC QA]])</f>
        <v>0</v>
      </c>
      <c r="V84" s="354"/>
      <c r="W84" s="352"/>
      <c r="X84" s="355"/>
      <c r="Y84" s="354"/>
    </row>
    <row r="85" spans="1:25" ht="15">
      <c r="A85" s="386"/>
      <c r="B85" s="361"/>
      <c r="C85" s="351"/>
      <c r="D85" s="362"/>
      <c r="E85" s="351"/>
      <c r="F85" s="363"/>
      <c r="G85" s="364"/>
      <c r="H85" s="351"/>
      <c r="I85" s="351">
        <v>83</v>
      </c>
      <c r="J85" s="352"/>
      <c r="K85" s="353"/>
      <c r="L85" s="353"/>
      <c r="M85" s="354"/>
      <c r="N85" s="354"/>
      <c r="O85" s="354"/>
      <c r="P85" s="354"/>
      <c r="Q85" s="354"/>
      <c r="R85" s="354"/>
      <c r="S85" s="354"/>
      <c r="T85" s="354"/>
      <c r="U85" s="365">
        <f>SUM(tblBacklog[[#This Row],[Funcional]:[PC QA]])</f>
        <v>0</v>
      </c>
      <c r="V85" s="354"/>
      <c r="W85" s="352"/>
      <c r="X85" s="355"/>
      <c r="Y85" s="354"/>
    </row>
    <row r="86" spans="1:25" ht="15">
      <c r="A86" s="387"/>
      <c r="B86" s="361"/>
      <c r="C86" s="351"/>
      <c r="D86" s="362"/>
      <c r="E86" s="351"/>
      <c r="F86" s="363"/>
      <c r="G86" s="364"/>
      <c r="H86" s="351"/>
      <c r="I86" s="351">
        <v>84</v>
      </c>
      <c r="J86" s="352"/>
      <c r="K86" s="353"/>
      <c r="L86" s="353"/>
      <c r="M86" s="354"/>
      <c r="N86" s="354"/>
      <c r="O86" s="354"/>
      <c r="P86" s="354"/>
      <c r="Q86" s="354"/>
      <c r="R86" s="354"/>
      <c r="S86" s="354"/>
      <c r="T86" s="354"/>
      <c r="U86" s="365">
        <f>SUM(tblBacklog[[#This Row],[Funcional]:[PC QA]])</f>
        <v>0</v>
      </c>
      <c r="V86" s="354"/>
      <c r="W86" s="352"/>
      <c r="X86" s="355"/>
      <c r="Y86" s="354"/>
    </row>
    <row r="87" spans="1:25" ht="15">
      <c r="A87" s="368"/>
      <c r="B87" s="361"/>
      <c r="C87" s="351"/>
      <c r="D87" s="362"/>
      <c r="E87" s="351"/>
      <c r="F87" s="363"/>
      <c r="G87" s="364"/>
      <c r="H87" s="351"/>
      <c r="I87" s="351">
        <v>85</v>
      </c>
      <c r="J87" s="352"/>
      <c r="K87" s="353"/>
      <c r="L87" s="353"/>
      <c r="M87" s="354"/>
      <c r="N87" s="354"/>
      <c r="O87" s="354"/>
      <c r="P87" s="354"/>
      <c r="Q87" s="354"/>
      <c r="R87" s="354"/>
      <c r="S87" s="354"/>
      <c r="T87" s="354"/>
      <c r="U87" s="365">
        <f>SUM(tblBacklog[[#This Row],[Funcional]:[PC QA]])</f>
        <v>0</v>
      </c>
      <c r="V87" s="354"/>
      <c r="W87" s="352"/>
      <c r="X87" s="355"/>
      <c r="Y87" s="354"/>
    </row>
    <row r="88" spans="1:25" ht="15">
      <c r="A88" s="388"/>
      <c r="B88" s="361"/>
      <c r="C88" s="351"/>
      <c r="D88" s="362"/>
      <c r="E88" s="351"/>
      <c r="F88" s="363"/>
      <c r="G88" s="364"/>
      <c r="H88" s="351"/>
      <c r="I88" s="351">
        <v>86</v>
      </c>
      <c r="J88" s="352"/>
      <c r="K88" s="353"/>
      <c r="L88" s="353"/>
      <c r="M88" s="354"/>
      <c r="N88" s="354"/>
      <c r="O88" s="354"/>
      <c r="P88" s="354"/>
      <c r="Q88" s="354"/>
      <c r="R88" s="354"/>
      <c r="S88" s="354"/>
      <c r="T88" s="354"/>
      <c r="U88" s="365">
        <f>SUM(tblBacklog[[#This Row],[Funcional]:[PC QA]])</f>
        <v>0</v>
      </c>
      <c r="V88" s="354"/>
      <c r="W88" s="352"/>
      <c r="X88" s="355"/>
      <c r="Y88" s="354"/>
    </row>
    <row r="89" spans="1:25" ht="15">
      <c r="A89" s="389"/>
      <c r="B89" s="361"/>
      <c r="C89" s="351"/>
      <c r="D89" s="362"/>
      <c r="E89" s="351"/>
      <c r="F89" s="363"/>
      <c r="G89" s="364"/>
      <c r="H89" s="351"/>
      <c r="I89" s="351">
        <v>87</v>
      </c>
      <c r="J89" s="352"/>
      <c r="K89" s="353"/>
      <c r="L89" s="353"/>
      <c r="M89" s="354"/>
      <c r="N89" s="354"/>
      <c r="O89" s="354"/>
      <c r="P89" s="354"/>
      <c r="Q89" s="354"/>
      <c r="R89" s="354"/>
      <c r="S89" s="354"/>
      <c r="T89" s="354"/>
      <c r="U89" s="365">
        <f>SUM(tblBacklog[[#This Row],[Funcional]:[PC QA]])</f>
        <v>0</v>
      </c>
      <c r="V89" s="354"/>
      <c r="W89" s="352"/>
      <c r="X89" s="355"/>
      <c r="Y89" s="354"/>
    </row>
    <row r="90" spans="1:25" ht="15">
      <c r="A90" s="390"/>
      <c r="B90" s="361"/>
      <c r="C90" s="351"/>
      <c r="D90" s="362"/>
      <c r="E90" s="351"/>
      <c r="F90" s="363"/>
      <c r="G90" s="364"/>
      <c r="H90" s="351"/>
      <c r="I90" s="351">
        <v>88</v>
      </c>
      <c r="J90" s="352"/>
      <c r="K90" s="353"/>
      <c r="L90" s="353"/>
      <c r="M90" s="354"/>
      <c r="N90" s="354"/>
      <c r="O90" s="354"/>
      <c r="P90" s="354"/>
      <c r="Q90" s="354"/>
      <c r="R90" s="354"/>
      <c r="S90" s="354"/>
      <c r="T90" s="354"/>
      <c r="U90" s="365">
        <f>SUM(tblBacklog[[#This Row],[Funcional]:[PC QA]])</f>
        <v>0</v>
      </c>
      <c r="V90" s="354"/>
      <c r="W90" s="352"/>
      <c r="X90" s="355"/>
      <c r="Y90" s="354"/>
    </row>
    <row r="91" spans="1:25" ht="15">
      <c r="A91" s="391"/>
      <c r="B91" s="361"/>
      <c r="C91" s="351"/>
      <c r="D91" s="362"/>
      <c r="E91" s="351"/>
      <c r="F91" s="363"/>
      <c r="G91" s="364"/>
      <c r="H91" s="351"/>
      <c r="I91" s="351">
        <v>89</v>
      </c>
      <c r="J91" s="352"/>
      <c r="K91" s="353"/>
      <c r="L91" s="353"/>
      <c r="M91" s="354"/>
      <c r="N91" s="354"/>
      <c r="O91" s="354"/>
      <c r="P91" s="354"/>
      <c r="Q91" s="354"/>
      <c r="R91" s="354"/>
      <c r="S91" s="354"/>
      <c r="T91" s="354"/>
      <c r="U91" s="365">
        <f>SUM(tblBacklog[[#This Row],[Funcional]:[PC QA]])</f>
        <v>0</v>
      </c>
      <c r="V91" s="354"/>
      <c r="W91" s="352"/>
      <c r="X91" s="355"/>
      <c r="Y91" s="354"/>
    </row>
    <row r="92" spans="1:25" ht="15">
      <c r="A92" s="364"/>
      <c r="B92" s="361"/>
      <c r="C92" s="351"/>
      <c r="D92" s="362"/>
      <c r="E92" s="351"/>
      <c r="F92" s="363"/>
      <c r="G92" s="364"/>
      <c r="H92" s="351"/>
      <c r="I92" s="351">
        <v>90</v>
      </c>
      <c r="J92" s="352"/>
      <c r="K92" s="353"/>
      <c r="L92" s="353"/>
      <c r="M92" s="354"/>
      <c r="N92" s="354"/>
      <c r="O92" s="354"/>
      <c r="P92" s="354"/>
      <c r="Q92" s="354"/>
      <c r="R92" s="354"/>
      <c r="S92" s="354"/>
      <c r="T92" s="354"/>
      <c r="U92" s="365">
        <f>SUM(tblBacklog[[#This Row],[Funcional]:[PC QA]])</f>
        <v>0</v>
      </c>
      <c r="V92" s="354"/>
      <c r="W92" s="352"/>
      <c r="X92" s="355"/>
      <c r="Y92" s="354"/>
    </row>
    <row r="93" spans="1:25" ht="15">
      <c r="A93" s="360"/>
      <c r="B93" s="361"/>
      <c r="C93" s="351"/>
      <c r="D93" s="362"/>
      <c r="E93" s="351"/>
      <c r="F93" s="363"/>
      <c r="G93" s="364"/>
      <c r="H93" s="351"/>
      <c r="I93" s="351">
        <v>91</v>
      </c>
      <c r="J93" s="352"/>
      <c r="K93" s="353"/>
      <c r="L93" s="353"/>
      <c r="M93" s="354"/>
      <c r="N93" s="354"/>
      <c r="O93" s="354"/>
      <c r="P93" s="354"/>
      <c r="Q93" s="354"/>
      <c r="R93" s="354"/>
      <c r="S93" s="354"/>
      <c r="T93" s="354"/>
      <c r="U93" s="365">
        <f>SUM(tblBacklog[[#This Row],[Funcional]:[PC QA]])</f>
        <v>0</v>
      </c>
      <c r="V93" s="354"/>
      <c r="W93" s="352"/>
      <c r="X93" s="355"/>
      <c r="Y93" s="354"/>
    </row>
    <row r="94" spans="1:25" ht="15">
      <c r="A94" s="366"/>
      <c r="B94" s="361"/>
      <c r="C94" s="351"/>
      <c r="D94" s="362"/>
      <c r="E94" s="351"/>
      <c r="F94" s="363"/>
      <c r="G94" s="364"/>
      <c r="H94" s="351"/>
      <c r="I94" s="351">
        <v>92</v>
      </c>
      <c r="J94" s="352"/>
      <c r="K94" s="353"/>
      <c r="L94" s="353"/>
      <c r="M94" s="354"/>
      <c r="N94" s="354"/>
      <c r="O94" s="354"/>
      <c r="P94" s="354"/>
      <c r="Q94" s="354"/>
      <c r="R94" s="354"/>
      <c r="S94" s="354"/>
      <c r="T94" s="354"/>
      <c r="U94" s="365">
        <f>SUM(tblBacklog[[#This Row],[Funcional]:[PC QA]])</f>
        <v>0</v>
      </c>
      <c r="V94" s="354"/>
      <c r="W94" s="352"/>
      <c r="X94" s="355"/>
      <c r="Y94" s="354"/>
    </row>
    <row r="95" spans="1:25" ht="15">
      <c r="A95" s="367"/>
      <c r="B95" s="361"/>
      <c r="C95" s="351"/>
      <c r="D95" s="362"/>
      <c r="E95" s="351"/>
      <c r="F95" s="363"/>
      <c r="G95" s="364"/>
      <c r="H95" s="351"/>
      <c r="I95" s="351">
        <v>93</v>
      </c>
      <c r="J95" s="352"/>
      <c r="K95" s="353"/>
      <c r="L95" s="353"/>
      <c r="M95" s="354"/>
      <c r="N95" s="354"/>
      <c r="O95" s="354"/>
      <c r="P95" s="354"/>
      <c r="Q95" s="354"/>
      <c r="R95" s="354"/>
      <c r="S95" s="354"/>
      <c r="T95" s="354"/>
      <c r="U95" s="365">
        <f>SUM(tblBacklog[[#This Row],[Funcional]:[PC QA]])</f>
        <v>0</v>
      </c>
      <c r="V95" s="354"/>
      <c r="W95" s="352"/>
      <c r="X95" s="355"/>
      <c r="Y95" s="354"/>
    </row>
    <row r="96" spans="1:25" ht="15">
      <c r="A96" s="368"/>
      <c r="B96" s="361"/>
      <c r="C96" s="351"/>
      <c r="D96" s="362"/>
      <c r="E96" s="351"/>
      <c r="F96" s="363"/>
      <c r="G96" s="364"/>
      <c r="H96" s="351"/>
      <c r="I96" s="351">
        <v>94</v>
      </c>
      <c r="J96" s="352"/>
      <c r="K96" s="353"/>
      <c r="L96" s="353"/>
      <c r="M96" s="354"/>
      <c r="N96" s="354"/>
      <c r="O96" s="354"/>
      <c r="P96" s="354"/>
      <c r="Q96" s="354"/>
      <c r="R96" s="354"/>
      <c r="S96" s="354"/>
      <c r="T96" s="354"/>
      <c r="U96" s="365">
        <f>SUM(tblBacklog[[#This Row],[Funcional]:[PC QA]])</f>
        <v>0</v>
      </c>
      <c r="V96" s="354"/>
      <c r="W96" s="352"/>
      <c r="X96" s="355"/>
      <c r="Y96" s="354"/>
    </row>
    <row r="97" spans="1:25" ht="15">
      <c r="A97" s="369"/>
      <c r="B97" s="361"/>
      <c r="C97" s="351"/>
      <c r="D97" s="362"/>
      <c r="E97" s="351"/>
      <c r="F97" s="363"/>
      <c r="G97" s="364"/>
      <c r="H97" s="351"/>
      <c r="I97" s="351">
        <v>95</v>
      </c>
      <c r="J97" s="352"/>
      <c r="K97" s="353"/>
      <c r="L97" s="353"/>
      <c r="M97" s="354"/>
      <c r="N97" s="354"/>
      <c r="O97" s="354"/>
      <c r="P97" s="354"/>
      <c r="Q97" s="354"/>
      <c r="R97" s="354"/>
      <c r="S97" s="354"/>
      <c r="T97" s="354"/>
      <c r="U97" s="365">
        <f>SUM(tblBacklog[[#This Row],[Funcional]:[PC QA]])</f>
        <v>0</v>
      </c>
      <c r="V97" s="354"/>
      <c r="W97" s="352"/>
      <c r="X97" s="355"/>
      <c r="Y97" s="354"/>
    </row>
    <row r="98" spans="1:25" ht="15">
      <c r="A98" s="370"/>
      <c r="B98" s="361"/>
      <c r="C98" s="351"/>
      <c r="D98" s="362"/>
      <c r="E98" s="351"/>
      <c r="F98" s="363"/>
      <c r="G98" s="364"/>
      <c r="H98" s="351"/>
      <c r="I98" s="351">
        <v>96</v>
      </c>
      <c r="J98" s="352"/>
      <c r="K98" s="353"/>
      <c r="L98" s="353"/>
      <c r="M98" s="354"/>
      <c r="N98" s="354"/>
      <c r="O98" s="354"/>
      <c r="P98" s="354"/>
      <c r="Q98" s="354"/>
      <c r="R98" s="354"/>
      <c r="S98" s="354"/>
      <c r="T98" s="354"/>
      <c r="U98" s="365">
        <f>SUM(tblBacklog[[#This Row],[Funcional]:[PC QA]])</f>
        <v>0</v>
      </c>
      <c r="V98" s="354"/>
      <c r="W98" s="352"/>
      <c r="X98" s="355"/>
      <c r="Y98" s="354"/>
    </row>
    <row r="99" spans="1:25" ht="15">
      <c r="A99" s="371"/>
      <c r="B99" s="361"/>
      <c r="C99" s="351"/>
      <c r="D99" s="362"/>
      <c r="E99" s="351"/>
      <c r="F99" s="363"/>
      <c r="G99" s="364"/>
      <c r="H99" s="351"/>
      <c r="I99" s="351">
        <v>97</v>
      </c>
      <c r="J99" s="352"/>
      <c r="K99" s="353"/>
      <c r="L99" s="353"/>
      <c r="M99" s="354"/>
      <c r="N99" s="354"/>
      <c r="O99" s="354"/>
      <c r="P99" s="354"/>
      <c r="Q99" s="354"/>
      <c r="R99" s="354"/>
      <c r="S99" s="354"/>
      <c r="T99" s="354"/>
      <c r="U99" s="365">
        <f>SUM(tblBacklog[[#This Row],[Funcional]:[PC QA]])</f>
        <v>0</v>
      </c>
      <c r="V99" s="354"/>
      <c r="W99" s="352"/>
      <c r="X99" s="355"/>
      <c r="Y99" s="354"/>
    </row>
    <row r="100" spans="1:25" ht="15">
      <c r="A100" s="372"/>
      <c r="B100" s="361"/>
      <c r="C100" s="351"/>
      <c r="D100" s="362"/>
      <c r="E100" s="351"/>
      <c r="F100" s="363"/>
      <c r="G100" s="364"/>
      <c r="H100" s="351"/>
      <c r="I100" s="351">
        <v>98</v>
      </c>
      <c r="J100" s="352"/>
      <c r="K100" s="353"/>
      <c r="L100" s="353"/>
      <c r="M100" s="354"/>
      <c r="N100" s="354"/>
      <c r="O100" s="354"/>
      <c r="P100" s="354"/>
      <c r="Q100" s="354"/>
      <c r="R100" s="354"/>
      <c r="S100" s="354"/>
      <c r="T100" s="354"/>
      <c r="U100" s="365">
        <f>SUM(tblBacklog[[#This Row],[Funcional]:[PC QA]])</f>
        <v>0</v>
      </c>
      <c r="V100" s="354"/>
      <c r="W100" s="352"/>
      <c r="X100" s="355"/>
      <c r="Y100" s="354"/>
    </row>
    <row r="101" spans="1:25" ht="15">
      <c r="A101" s="373"/>
      <c r="B101" s="361"/>
      <c r="C101" s="351"/>
      <c r="D101" s="362"/>
      <c r="E101" s="351"/>
      <c r="F101" s="363"/>
      <c r="G101" s="364"/>
      <c r="H101" s="351"/>
      <c r="I101" s="351">
        <v>99</v>
      </c>
      <c r="J101" s="352"/>
      <c r="K101" s="353"/>
      <c r="L101" s="353"/>
      <c r="M101" s="354"/>
      <c r="N101" s="354"/>
      <c r="O101" s="354"/>
      <c r="P101" s="354"/>
      <c r="Q101" s="354"/>
      <c r="R101" s="354"/>
      <c r="S101" s="354"/>
      <c r="T101" s="354"/>
      <c r="U101" s="365">
        <f>SUM(tblBacklog[[#This Row],[Funcional]:[PC QA]])</f>
        <v>0</v>
      </c>
      <c r="V101" s="354"/>
      <c r="W101" s="352"/>
      <c r="X101" s="355"/>
      <c r="Y101" s="354"/>
    </row>
    <row r="102" spans="1:25" ht="15">
      <c r="A102" s="374"/>
      <c r="B102" s="361"/>
      <c r="C102" s="351"/>
      <c r="D102" s="362"/>
      <c r="E102" s="351"/>
      <c r="F102" s="363"/>
      <c r="G102" s="364"/>
      <c r="H102" s="351"/>
      <c r="I102" s="351">
        <v>100</v>
      </c>
      <c r="J102" s="352"/>
      <c r="K102" s="353"/>
      <c r="L102" s="353"/>
      <c r="M102" s="354"/>
      <c r="N102" s="354"/>
      <c r="O102" s="354"/>
      <c r="P102" s="354"/>
      <c r="Q102" s="354"/>
      <c r="R102" s="354"/>
      <c r="S102" s="354"/>
      <c r="T102" s="354"/>
      <c r="U102" s="365">
        <f>SUM(tblBacklog[[#This Row],[Funcional]:[PC QA]])</f>
        <v>0</v>
      </c>
      <c r="V102" s="354"/>
      <c r="W102" s="352"/>
      <c r="X102" s="355"/>
      <c r="Y102" s="354"/>
    </row>
    <row r="103" spans="1:25" ht="15">
      <c r="A103" s="375"/>
      <c r="B103" s="361"/>
      <c r="C103" s="351"/>
      <c r="D103" s="362"/>
      <c r="E103" s="351"/>
      <c r="F103" s="363"/>
      <c r="G103" s="364"/>
      <c r="H103" s="351"/>
      <c r="I103" s="351">
        <v>101</v>
      </c>
      <c r="J103" s="352"/>
      <c r="K103" s="353"/>
      <c r="L103" s="353"/>
      <c r="M103" s="354"/>
      <c r="N103" s="354"/>
      <c r="O103" s="354"/>
      <c r="P103" s="354"/>
      <c r="Q103" s="354"/>
      <c r="R103" s="354"/>
      <c r="S103" s="354"/>
      <c r="T103" s="354"/>
      <c r="U103" s="365">
        <f>SUM(tblBacklog[[#This Row],[Funcional]:[PC QA]])</f>
        <v>0</v>
      </c>
      <c r="V103" s="354"/>
      <c r="W103" s="352"/>
      <c r="X103" s="355"/>
      <c r="Y103" s="354"/>
    </row>
    <row r="104" spans="1:25" ht="15">
      <c r="A104" s="376"/>
      <c r="B104" s="361"/>
      <c r="C104" s="351"/>
      <c r="D104" s="362"/>
      <c r="E104" s="351"/>
      <c r="F104" s="363"/>
      <c r="G104" s="364"/>
      <c r="H104" s="351"/>
      <c r="I104" s="351">
        <v>102</v>
      </c>
      <c r="J104" s="352"/>
      <c r="K104" s="353"/>
      <c r="L104" s="353"/>
      <c r="M104" s="354"/>
      <c r="N104" s="354"/>
      <c r="O104" s="354"/>
      <c r="P104" s="354"/>
      <c r="Q104" s="354"/>
      <c r="R104" s="354"/>
      <c r="S104" s="354"/>
      <c r="T104" s="354"/>
      <c r="U104" s="365">
        <f>SUM(tblBacklog[[#This Row],[Funcional]:[PC QA]])</f>
        <v>0</v>
      </c>
      <c r="V104" s="354"/>
      <c r="W104" s="352"/>
      <c r="X104" s="355"/>
      <c r="Y104" s="354"/>
    </row>
    <row r="105" spans="1:25" ht="15">
      <c r="A105" s="377"/>
      <c r="B105" s="361"/>
      <c r="C105" s="351"/>
      <c r="D105" s="362"/>
      <c r="E105" s="351"/>
      <c r="F105" s="363"/>
      <c r="G105" s="364"/>
      <c r="H105" s="351"/>
      <c r="I105" s="351">
        <v>103</v>
      </c>
      <c r="J105" s="352"/>
      <c r="K105" s="353"/>
      <c r="L105" s="353"/>
      <c r="M105" s="354"/>
      <c r="N105" s="354"/>
      <c r="O105" s="354"/>
      <c r="P105" s="354"/>
      <c r="Q105" s="354"/>
      <c r="R105" s="354"/>
      <c r="S105" s="354"/>
      <c r="T105" s="354"/>
      <c r="U105" s="365">
        <f>SUM(tblBacklog[[#This Row],[Funcional]:[PC QA]])</f>
        <v>0</v>
      </c>
      <c r="V105" s="354"/>
      <c r="W105" s="352"/>
      <c r="X105" s="355"/>
      <c r="Y105" s="354"/>
    </row>
    <row r="106" spans="1:25" ht="15">
      <c r="A106" s="378"/>
      <c r="B106" s="361"/>
      <c r="C106" s="351"/>
      <c r="D106" s="362"/>
      <c r="E106" s="351"/>
      <c r="F106" s="363"/>
      <c r="G106" s="364"/>
      <c r="H106" s="351"/>
      <c r="I106" s="351">
        <v>104</v>
      </c>
      <c r="J106" s="352"/>
      <c r="K106" s="353"/>
      <c r="L106" s="353"/>
      <c r="M106" s="354"/>
      <c r="N106" s="354"/>
      <c r="O106" s="354"/>
      <c r="P106" s="354"/>
      <c r="Q106" s="354"/>
      <c r="R106" s="354"/>
      <c r="S106" s="354"/>
      <c r="T106" s="354"/>
      <c r="U106" s="365">
        <f>SUM(tblBacklog[[#This Row],[Funcional]:[PC QA]])</f>
        <v>0</v>
      </c>
      <c r="V106" s="354"/>
      <c r="W106" s="352"/>
      <c r="X106" s="355"/>
      <c r="Y106" s="354"/>
    </row>
    <row r="107" spans="1:25" ht="15">
      <c r="A107" s="379"/>
      <c r="B107" s="361"/>
      <c r="C107" s="351"/>
      <c r="D107" s="362"/>
      <c r="E107" s="351"/>
      <c r="F107" s="363"/>
      <c r="G107" s="364"/>
      <c r="H107" s="351"/>
      <c r="I107" s="351">
        <v>105</v>
      </c>
      <c r="J107" s="352"/>
      <c r="K107" s="353"/>
      <c r="L107" s="353"/>
      <c r="M107" s="354"/>
      <c r="N107" s="354"/>
      <c r="O107" s="354"/>
      <c r="P107" s="354"/>
      <c r="Q107" s="354"/>
      <c r="R107" s="354"/>
      <c r="S107" s="354"/>
      <c r="T107" s="354"/>
      <c r="U107" s="365">
        <f>SUM(tblBacklog[[#This Row],[Funcional]:[PC QA]])</f>
        <v>0</v>
      </c>
      <c r="V107" s="354"/>
      <c r="W107" s="352"/>
      <c r="X107" s="355"/>
      <c r="Y107" s="354"/>
    </row>
    <row r="108" spans="1:25" ht="15">
      <c r="A108" s="380"/>
      <c r="B108" s="361"/>
      <c r="C108" s="351"/>
      <c r="D108" s="362"/>
      <c r="E108" s="351"/>
      <c r="F108" s="363"/>
      <c r="G108" s="364"/>
      <c r="H108" s="351"/>
      <c r="I108" s="351">
        <v>106</v>
      </c>
      <c r="J108" s="352"/>
      <c r="K108" s="353"/>
      <c r="L108" s="353"/>
      <c r="M108" s="354"/>
      <c r="N108" s="354"/>
      <c r="O108" s="354"/>
      <c r="P108" s="354"/>
      <c r="Q108" s="354"/>
      <c r="R108" s="354"/>
      <c r="S108" s="354"/>
      <c r="T108" s="354"/>
      <c r="U108" s="365">
        <f>SUM(tblBacklog[[#This Row],[Funcional]:[PC QA]])</f>
        <v>0</v>
      </c>
      <c r="V108" s="354"/>
      <c r="W108" s="352"/>
      <c r="X108" s="355"/>
      <c r="Y108" s="354"/>
    </row>
    <row r="109" spans="1:25" ht="15">
      <c r="A109" s="381"/>
      <c r="B109" s="361"/>
      <c r="C109" s="351"/>
      <c r="D109" s="362"/>
      <c r="E109" s="351"/>
      <c r="F109" s="363"/>
      <c r="G109" s="364"/>
      <c r="H109" s="351"/>
      <c r="I109" s="351">
        <v>107</v>
      </c>
      <c r="J109" s="352"/>
      <c r="K109" s="353"/>
      <c r="L109" s="353"/>
      <c r="M109" s="354"/>
      <c r="N109" s="354"/>
      <c r="O109" s="354"/>
      <c r="P109" s="354"/>
      <c r="Q109" s="354"/>
      <c r="R109" s="354"/>
      <c r="S109" s="354"/>
      <c r="T109" s="354"/>
      <c r="U109" s="365">
        <f>SUM(tblBacklog[[#This Row],[Funcional]:[PC QA]])</f>
        <v>0</v>
      </c>
      <c r="V109" s="354"/>
      <c r="W109" s="352"/>
      <c r="X109" s="355"/>
      <c r="Y109" s="354"/>
    </row>
    <row r="110" spans="1:25" ht="15">
      <c r="A110" s="382"/>
      <c r="B110" s="361"/>
      <c r="C110" s="351"/>
      <c r="D110" s="362"/>
      <c r="E110" s="351"/>
      <c r="F110" s="363"/>
      <c r="G110" s="364"/>
      <c r="H110" s="351"/>
      <c r="I110" s="351">
        <v>108</v>
      </c>
      <c r="J110" s="352"/>
      <c r="K110" s="353"/>
      <c r="L110" s="353"/>
      <c r="M110" s="354"/>
      <c r="N110" s="354"/>
      <c r="O110" s="354"/>
      <c r="P110" s="354"/>
      <c r="Q110" s="354"/>
      <c r="R110" s="354"/>
      <c r="S110" s="354"/>
      <c r="T110" s="354"/>
      <c r="U110" s="365">
        <f>SUM(tblBacklog[[#This Row],[Funcional]:[PC QA]])</f>
        <v>0</v>
      </c>
      <c r="V110" s="354"/>
      <c r="W110" s="352"/>
      <c r="X110" s="355"/>
      <c r="Y110" s="354"/>
    </row>
    <row r="111" spans="1:25" ht="15">
      <c r="A111" s="383"/>
      <c r="B111" s="361"/>
      <c r="C111" s="351"/>
      <c r="D111" s="362"/>
      <c r="E111" s="351"/>
      <c r="F111" s="363"/>
      <c r="G111" s="364"/>
      <c r="H111" s="351"/>
      <c r="I111" s="351">
        <v>109</v>
      </c>
      <c r="J111" s="352"/>
      <c r="K111" s="353"/>
      <c r="L111" s="353"/>
      <c r="M111" s="354"/>
      <c r="N111" s="354"/>
      <c r="O111" s="354"/>
      <c r="P111" s="354"/>
      <c r="Q111" s="354"/>
      <c r="R111" s="354"/>
      <c r="S111" s="354"/>
      <c r="T111" s="354"/>
      <c r="U111" s="365">
        <f>SUM(tblBacklog[[#This Row],[Funcional]:[PC QA]])</f>
        <v>0</v>
      </c>
      <c r="V111" s="354"/>
      <c r="W111" s="352"/>
      <c r="X111" s="355"/>
      <c r="Y111" s="354"/>
    </row>
    <row r="112" spans="1:25" ht="15">
      <c r="A112" s="384"/>
      <c r="B112" s="361"/>
      <c r="C112" s="351"/>
      <c r="D112" s="362"/>
      <c r="E112" s="351"/>
      <c r="F112" s="363"/>
      <c r="G112" s="364"/>
      <c r="H112" s="351"/>
      <c r="I112" s="351">
        <v>110</v>
      </c>
      <c r="J112" s="352"/>
      <c r="K112" s="353"/>
      <c r="L112" s="353"/>
      <c r="M112" s="354"/>
      <c r="N112" s="354"/>
      <c r="O112" s="354"/>
      <c r="P112" s="354"/>
      <c r="Q112" s="354"/>
      <c r="R112" s="354"/>
      <c r="S112" s="354"/>
      <c r="T112" s="354"/>
      <c r="U112" s="365">
        <f>SUM(tblBacklog[[#This Row],[Funcional]:[PC QA]])</f>
        <v>0</v>
      </c>
      <c r="V112" s="354"/>
      <c r="W112" s="352"/>
      <c r="X112" s="355"/>
      <c r="Y112" s="354"/>
    </row>
    <row r="113" spans="1:25" ht="15">
      <c r="A113" s="370"/>
      <c r="B113" s="361"/>
      <c r="C113" s="351"/>
      <c r="D113" s="362"/>
      <c r="E113" s="351"/>
      <c r="F113" s="363"/>
      <c r="G113" s="364"/>
      <c r="H113" s="351"/>
      <c r="I113" s="351">
        <v>111</v>
      </c>
      <c r="J113" s="352"/>
      <c r="K113" s="353"/>
      <c r="L113" s="353"/>
      <c r="M113" s="354"/>
      <c r="N113" s="354"/>
      <c r="O113" s="354"/>
      <c r="P113" s="354"/>
      <c r="Q113" s="354"/>
      <c r="R113" s="354"/>
      <c r="S113" s="354"/>
      <c r="T113" s="354"/>
      <c r="U113" s="365">
        <f>SUM(tblBacklog[[#This Row],[Funcional]:[PC QA]])</f>
        <v>0</v>
      </c>
      <c r="V113" s="354"/>
      <c r="W113" s="352"/>
      <c r="X113" s="355"/>
      <c r="Y113" s="354"/>
    </row>
    <row r="114" spans="1:25" ht="15">
      <c r="A114" s="385"/>
      <c r="B114" s="361"/>
      <c r="C114" s="351"/>
      <c r="D114" s="362"/>
      <c r="E114" s="351"/>
      <c r="F114" s="363"/>
      <c r="G114" s="364"/>
      <c r="H114" s="351"/>
      <c r="I114" s="351">
        <v>112</v>
      </c>
      <c r="J114" s="352"/>
      <c r="K114" s="353"/>
      <c r="L114" s="353"/>
      <c r="M114" s="354"/>
      <c r="N114" s="354"/>
      <c r="O114" s="354"/>
      <c r="P114" s="354"/>
      <c r="Q114" s="354"/>
      <c r="R114" s="354"/>
      <c r="S114" s="354"/>
      <c r="T114" s="354"/>
      <c r="U114" s="365">
        <f>SUM(tblBacklog[[#This Row],[Funcional]:[PC QA]])</f>
        <v>0</v>
      </c>
      <c r="V114" s="354"/>
      <c r="W114" s="352"/>
      <c r="X114" s="355"/>
      <c r="Y114" s="354"/>
    </row>
    <row r="115" spans="1:25" ht="15">
      <c r="A115" s="386"/>
      <c r="B115" s="361"/>
      <c r="C115" s="351"/>
      <c r="D115" s="362"/>
      <c r="E115" s="351"/>
      <c r="F115" s="363"/>
      <c r="G115" s="364"/>
      <c r="H115" s="351"/>
      <c r="I115" s="351">
        <v>113</v>
      </c>
      <c r="J115" s="352"/>
      <c r="K115" s="353"/>
      <c r="L115" s="353"/>
      <c r="M115" s="354"/>
      <c r="N115" s="354"/>
      <c r="O115" s="354"/>
      <c r="P115" s="354"/>
      <c r="Q115" s="354"/>
      <c r="R115" s="354"/>
      <c r="S115" s="354"/>
      <c r="T115" s="354"/>
      <c r="U115" s="365">
        <f>SUM(tblBacklog[[#This Row],[Funcional]:[PC QA]])</f>
        <v>0</v>
      </c>
      <c r="V115" s="354"/>
      <c r="W115" s="352"/>
      <c r="X115" s="355"/>
      <c r="Y115" s="354"/>
    </row>
    <row r="116" spans="1:25" ht="15">
      <c r="A116" s="387"/>
      <c r="B116" s="361"/>
      <c r="C116" s="351"/>
      <c r="D116" s="362"/>
      <c r="E116" s="351"/>
      <c r="F116" s="363"/>
      <c r="G116" s="364"/>
      <c r="H116" s="351"/>
      <c r="I116" s="351">
        <v>114</v>
      </c>
      <c r="J116" s="352"/>
      <c r="K116" s="353"/>
      <c r="L116" s="353"/>
      <c r="M116" s="354"/>
      <c r="N116" s="354"/>
      <c r="O116" s="354"/>
      <c r="P116" s="354"/>
      <c r="Q116" s="354"/>
      <c r="R116" s="354"/>
      <c r="S116" s="354"/>
      <c r="T116" s="354"/>
      <c r="U116" s="365">
        <f>SUM(tblBacklog[[#This Row],[Funcional]:[PC QA]])</f>
        <v>0</v>
      </c>
      <c r="V116" s="354"/>
      <c r="W116" s="352"/>
      <c r="X116" s="355"/>
      <c r="Y116" s="354"/>
    </row>
    <row r="117" spans="1:25" ht="15">
      <c r="A117" s="368"/>
      <c r="B117" s="361"/>
      <c r="C117" s="351"/>
      <c r="D117" s="362"/>
      <c r="E117" s="351"/>
      <c r="F117" s="363"/>
      <c r="G117" s="364"/>
      <c r="H117" s="351"/>
      <c r="I117" s="351">
        <v>115</v>
      </c>
      <c r="J117" s="352"/>
      <c r="K117" s="353"/>
      <c r="L117" s="353"/>
      <c r="M117" s="354"/>
      <c r="N117" s="354"/>
      <c r="O117" s="354"/>
      <c r="P117" s="354"/>
      <c r="Q117" s="354"/>
      <c r="R117" s="354"/>
      <c r="S117" s="354"/>
      <c r="T117" s="354"/>
      <c r="U117" s="365">
        <f>SUM(tblBacklog[[#This Row],[Funcional]:[PC QA]])</f>
        <v>0</v>
      </c>
      <c r="V117" s="354"/>
      <c r="W117" s="352"/>
      <c r="X117" s="355"/>
      <c r="Y117" s="354"/>
    </row>
    <row r="118" spans="1:25" ht="15">
      <c r="A118" s="388"/>
      <c r="B118" s="361"/>
      <c r="C118" s="351"/>
      <c r="D118" s="362"/>
      <c r="E118" s="351"/>
      <c r="F118" s="363"/>
      <c r="G118" s="364"/>
      <c r="H118" s="351"/>
      <c r="I118" s="351">
        <v>116</v>
      </c>
      <c r="J118" s="352"/>
      <c r="K118" s="353"/>
      <c r="L118" s="353"/>
      <c r="M118" s="354"/>
      <c r="N118" s="354"/>
      <c r="O118" s="354"/>
      <c r="P118" s="354"/>
      <c r="Q118" s="354"/>
      <c r="R118" s="354"/>
      <c r="S118" s="354"/>
      <c r="T118" s="354"/>
      <c r="U118" s="365">
        <f>SUM(tblBacklog[[#This Row],[Funcional]:[PC QA]])</f>
        <v>0</v>
      </c>
      <c r="V118" s="354"/>
      <c r="W118" s="352"/>
      <c r="X118" s="355"/>
      <c r="Y118" s="354"/>
    </row>
    <row r="119" spans="1:25" ht="15">
      <c r="A119" s="389"/>
      <c r="B119" s="361"/>
      <c r="C119" s="351"/>
      <c r="D119" s="362"/>
      <c r="E119" s="351"/>
      <c r="F119" s="363"/>
      <c r="G119" s="364"/>
      <c r="H119" s="351"/>
      <c r="I119" s="351">
        <v>117</v>
      </c>
      <c r="J119" s="352"/>
      <c r="K119" s="353"/>
      <c r="L119" s="353"/>
      <c r="M119" s="354"/>
      <c r="N119" s="354"/>
      <c r="O119" s="354"/>
      <c r="P119" s="354"/>
      <c r="Q119" s="354"/>
      <c r="R119" s="354"/>
      <c r="S119" s="354"/>
      <c r="T119" s="354"/>
      <c r="U119" s="365">
        <f>SUM(tblBacklog[[#This Row],[Funcional]:[PC QA]])</f>
        <v>0</v>
      </c>
      <c r="V119" s="354"/>
      <c r="W119" s="352"/>
      <c r="X119" s="355"/>
      <c r="Y119" s="354"/>
    </row>
    <row r="120" spans="1:25" ht="15">
      <c r="A120" s="390"/>
      <c r="B120" s="361"/>
      <c r="C120" s="351"/>
      <c r="D120" s="362"/>
      <c r="E120" s="351"/>
      <c r="F120" s="363"/>
      <c r="G120" s="364"/>
      <c r="H120" s="351"/>
      <c r="I120" s="351">
        <v>118</v>
      </c>
      <c r="J120" s="352"/>
      <c r="K120" s="353"/>
      <c r="L120" s="353"/>
      <c r="M120" s="354"/>
      <c r="N120" s="354"/>
      <c r="O120" s="354"/>
      <c r="P120" s="354"/>
      <c r="Q120" s="354"/>
      <c r="R120" s="354"/>
      <c r="S120" s="354"/>
      <c r="T120" s="354"/>
      <c r="U120" s="365">
        <f>SUM(tblBacklog[[#This Row],[Funcional]:[PC QA]])</f>
        <v>0</v>
      </c>
      <c r="V120" s="354"/>
      <c r="W120" s="352"/>
      <c r="X120" s="355"/>
      <c r="Y120" s="354"/>
    </row>
    <row r="121" spans="1:25" ht="15">
      <c r="A121" s="391"/>
      <c r="B121" s="361"/>
      <c r="C121" s="351"/>
      <c r="D121" s="362"/>
      <c r="E121" s="351"/>
      <c r="F121" s="363"/>
      <c r="G121" s="364"/>
      <c r="H121" s="351"/>
      <c r="I121" s="351">
        <v>119</v>
      </c>
      <c r="J121" s="352"/>
      <c r="K121" s="353"/>
      <c r="L121" s="353"/>
      <c r="M121" s="354"/>
      <c r="N121" s="354"/>
      <c r="O121" s="354"/>
      <c r="P121" s="354"/>
      <c r="Q121" s="354"/>
      <c r="R121" s="354"/>
      <c r="S121" s="354"/>
      <c r="T121" s="354"/>
      <c r="U121" s="365">
        <f>SUM(tblBacklog[[#This Row],[Funcional]:[PC QA]])</f>
        <v>0</v>
      </c>
      <c r="V121" s="354"/>
      <c r="W121" s="352"/>
      <c r="X121" s="355"/>
      <c r="Y121" s="354"/>
    </row>
    <row r="122" spans="1:25" ht="15">
      <c r="A122" s="364"/>
      <c r="B122" s="361"/>
      <c r="C122" s="351"/>
      <c r="D122" s="362"/>
      <c r="E122" s="351"/>
      <c r="F122" s="363"/>
      <c r="G122" s="364"/>
      <c r="H122" s="351"/>
      <c r="I122" s="351">
        <v>120</v>
      </c>
      <c r="J122" s="352"/>
      <c r="K122" s="353"/>
      <c r="L122" s="353"/>
      <c r="M122" s="354"/>
      <c r="N122" s="354"/>
      <c r="O122" s="354"/>
      <c r="P122" s="354"/>
      <c r="Q122" s="354"/>
      <c r="R122" s="354"/>
      <c r="S122" s="354"/>
      <c r="T122" s="354"/>
      <c r="U122" s="365">
        <f>SUM(tblBacklog[[#This Row],[Funcional]:[PC QA]])</f>
        <v>0</v>
      </c>
      <c r="V122" s="354"/>
      <c r="W122" s="352"/>
      <c r="X122" s="355"/>
      <c r="Y122" s="354"/>
    </row>
    <row r="123" spans="1:25" ht="15">
      <c r="A123" s="360"/>
      <c r="B123" s="361"/>
      <c r="C123" s="351"/>
      <c r="D123" s="362"/>
      <c r="E123" s="351"/>
      <c r="F123" s="363"/>
      <c r="G123" s="364"/>
      <c r="H123" s="351"/>
      <c r="I123" s="351">
        <v>121</v>
      </c>
      <c r="J123" s="352"/>
      <c r="K123" s="353"/>
      <c r="L123" s="353"/>
      <c r="M123" s="354"/>
      <c r="N123" s="354"/>
      <c r="O123" s="354"/>
      <c r="P123" s="354"/>
      <c r="Q123" s="354"/>
      <c r="R123" s="354"/>
      <c r="S123" s="354"/>
      <c r="T123" s="354"/>
      <c r="U123" s="365">
        <f>SUM(tblBacklog[[#This Row],[Funcional]:[PC QA]])</f>
        <v>0</v>
      </c>
      <c r="V123" s="354"/>
      <c r="W123" s="352"/>
      <c r="X123" s="355"/>
      <c r="Y123" s="354"/>
    </row>
    <row r="124" spans="1:25" ht="15">
      <c r="A124" s="366"/>
      <c r="B124" s="361"/>
      <c r="C124" s="351"/>
      <c r="D124" s="362"/>
      <c r="E124" s="351"/>
      <c r="F124" s="363"/>
      <c r="G124" s="364"/>
      <c r="H124" s="351"/>
      <c r="I124" s="351">
        <v>122</v>
      </c>
      <c r="J124" s="352"/>
      <c r="K124" s="353"/>
      <c r="L124" s="353"/>
      <c r="M124" s="354"/>
      <c r="N124" s="354"/>
      <c r="O124" s="354"/>
      <c r="P124" s="354"/>
      <c r="Q124" s="354"/>
      <c r="R124" s="354"/>
      <c r="S124" s="354"/>
      <c r="T124" s="354"/>
      <c r="U124" s="365">
        <f>SUM(tblBacklog[[#This Row],[Funcional]:[PC QA]])</f>
        <v>0</v>
      </c>
      <c r="V124" s="354"/>
      <c r="W124" s="352"/>
      <c r="X124" s="355"/>
      <c r="Y124" s="354"/>
    </row>
    <row r="125" spans="1:25" ht="15">
      <c r="A125" s="367"/>
      <c r="B125" s="361"/>
      <c r="C125" s="351"/>
      <c r="D125" s="362"/>
      <c r="E125" s="351"/>
      <c r="F125" s="363"/>
      <c r="G125" s="364"/>
      <c r="H125" s="351"/>
      <c r="I125" s="351">
        <v>123</v>
      </c>
      <c r="J125" s="352"/>
      <c r="K125" s="353"/>
      <c r="L125" s="353"/>
      <c r="M125" s="354"/>
      <c r="N125" s="354"/>
      <c r="O125" s="354"/>
      <c r="P125" s="354"/>
      <c r="Q125" s="354"/>
      <c r="R125" s="354"/>
      <c r="S125" s="354"/>
      <c r="T125" s="354"/>
      <c r="U125" s="365">
        <f>SUM(tblBacklog[[#This Row],[Funcional]:[PC QA]])</f>
        <v>0</v>
      </c>
      <c r="V125" s="354"/>
      <c r="W125" s="352"/>
      <c r="X125" s="355"/>
      <c r="Y125" s="354"/>
    </row>
    <row r="126" spans="1:25" ht="15">
      <c r="A126" s="368"/>
      <c r="B126" s="361"/>
      <c r="C126" s="351"/>
      <c r="D126" s="362"/>
      <c r="E126" s="351"/>
      <c r="F126" s="363"/>
      <c r="G126" s="364"/>
      <c r="H126" s="351"/>
      <c r="I126" s="351">
        <v>124</v>
      </c>
      <c r="J126" s="352"/>
      <c r="K126" s="353"/>
      <c r="L126" s="353"/>
      <c r="M126" s="354"/>
      <c r="N126" s="354"/>
      <c r="O126" s="354"/>
      <c r="P126" s="354"/>
      <c r="Q126" s="354"/>
      <c r="R126" s="354"/>
      <c r="S126" s="354"/>
      <c r="T126" s="354"/>
      <c r="U126" s="365">
        <f>SUM(tblBacklog[[#This Row],[Funcional]:[PC QA]])</f>
        <v>0</v>
      </c>
      <c r="V126" s="354"/>
      <c r="W126" s="352"/>
      <c r="X126" s="355"/>
      <c r="Y126" s="354"/>
    </row>
    <row r="127" spans="1:25" ht="15">
      <c r="A127" s="369"/>
      <c r="B127" s="361"/>
      <c r="C127" s="351"/>
      <c r="D127" s="362"/>
      <c r="E127" s="351"/>
      <c r="F127" s="363"/>
      <c r="G127" s="364"/>
      <c r="H127" s="351"/>
      <c r="I127" s="351">
        <v>125</v>
      </c>
      <c r="J127" s="352"/>
      <c r="K127" s="353"/>
      <c r="L127" s="353"/>
      <c r="M127" s="354"/>
      <c r="N127" s="354"/>
      <c r="O127" s="354"/>
      <c r="P127" s="354"/>
      <c r="Q127" s="354"/>
      <c r="R127" s="354"/>
      <c r="S127" s="354"/>
      <c r="T127" s="354"/>
      <c r="U127" s="365">
        <f>SUM(tblBacklog[[#This Row],[Funcional]:[PC QA]])</f>
        <v>0</v>
      </c>
      <c r="V127" s="354"/>
      <c r="W127" s="352"/>
      <c r="X127" s="355"/>
      <c r="Y127" s="354"/>
    </row>
    <row r="128" spans="1:25" ht="15">
      <c r="A128" s="370"/>
      <c r="B128" s="361"/>
      <c r="C128" s="351"/>
      <c r="D128" s="362"/>
      <c r="E128" s="351"/>
      <c r="F128" s="363"/>
      <c r="G128" s="364"/>
      <c r="H128" s="351"/>
      <c r="I128" s="351">
        <v>126</v>
      </c>
      <c r="J128" s="352"/>
      <c r="K128" s="353"/>
      <c r="L128" s="353"/>
      <c r="M128" s="354"/>
      <c r="N128" s="354"/>
      <c r="O128" s="354"/>
      <c r="P128" s="354"/>
      <c r="Q128" s="354"/>
      <c r="R128" s="354"/>
      <c r="S128" s="354"/>
      <c r="T128" s="354"/>
      <c r="U128" s="365">
        <f>SUM(tblBacklog[[#This Row],[Funcional]:[PC QA]])</f>
        <v>0</v>
      </c>
      <c r="V128" s="354"/>
      <c r="W128" s="352"/>
      <c r="X128" s="355"/>
      <c r="Y128" s="354"/>
    </row>
    <row r="129" spans="1:25" ht="15">
      <c r="A129" s="371"/>
      <c r="B129" s="361"/>
      <c r="C129" s="351"/>
      <c r="D129" s="362"/>
      <c r="E129" s="351"/>
      <c r="F129" s="363"/>
      <c r="G129" s="364"/>
      <c r="H129" s="351"/>
      <c r="I129" s="351">
        <v>127</v>
      </c>
      <c r="J129" s="352"/>
      <c r="K129" s="353"/>
      <c r="L129" s="353"/>
      <c r="M129" s="354"/>
      <c r="N129" s="354"/>
      <c r="O129" s="354"/>
      <c r="P129" s="354"/>
      <c r="Q129" s="354"/>
      <c r="R129" s="354"/>
      <c r="S129" s="354"/>
      <c r="T129" s="354"/>
      <c r="U129" s="365">
        <f>SUM(tblBacklog[[#This Row],[Funcional]:[PC QA]])</f>
        <v>0</v>
      </c>
      <c r="V129" s="354"/>
      <c r="W129" s="352"/>
      <c r="X129" s="355"/>
      <c r="Y129" s="354"/>
    </row>
    <row r="130" spans="1:25" ht="15">
      <c r="A130" s="372"/>
      <c r="B130" s="361"/>
      <c r="C130" s="351"/>
      <c r="D130" s="362"/>
      <c r="E130" s="351"/>
      <c r="F130" s="363"/>
      <c r="G130" s="364"/>
      <c r="H130" s="351"/>
      <c r="I130" s="351">
        <v>128</v>
      </c>
      <c r="J130" s="352"/>
      <c r="K130" s="353"/>
      <c r="L130" s="353"/>
      <c r="M130" s="354"/>
      <c r="N130" s="354"/>
      <c r="O130" s="354"/>
      <c r="P130" s="354"/>
      <c r="Q130" s="354"/>
      <c r="R130" s="354"/>
      <c r="S130" s="354"/>
      <c r="T130" s="354"/>
      <c r="U130" s="365">
        <f>SUM(tblBacklog[[#This Row],[Funcional]:[PC QA]])</f>
        <v>0</v>
      </c>
      <c r="V130" s="354"/>
      <c r="W130" s="352"/>
      <c r="X130" s="355"/>
      <c r="Y130" s="354"/>
    </row>
    <row r="131" spans="1:25" ht="15">
      <c r="A131" s="373"/>
      <c r="B131" s="361"/>
      <c r="C131" s="351"/>
      <c r="D131" s="362"/>
      <c r="E131" s="351"/>
      <c r="F131" s="363"/>
      <c r="G131" s="364"/>
      <c r="H131" s="351"/>
      <c r="I131" s="351">
        <v>129</v>
      </c>
      <c r="J131" s="352"/>
      <c r="K131" s="353"/>
      <c r="L131" s="353"/>
      <c r="M131" s="354"/>
      <c r="N131" s="354"/>
      <c r="O131" s="354"/>
      <c r="P131" s="354"/>
      <c r="Q131" s="354"/>
      <c r="R131" s="354"/>
      <c r="S131" s="354"/>
      <c r="T131" s="354"/>
      <c r="U131" s="365">
        <f>SUM(tblBacklog[[#This Row],[Funcional]:[PC QA]])</f>
        <v>0</v>
      </c>
      <c r="V131" s="354"/>
      <c r="W131" s="352"/>
      <c r="X131" s="355"/>
      <c r="Y131" s="354"/>
    </row>
    <row r="132" spans="1:25" ht="15">
      <c r="A132" s="374"/>
      <c r="B132" s="361"/>
      <c r="C132" s="351"/>
      <c r="D132" s="362"/>
      <c r="E132" s="351"/>
      <c r="F132" s="363"/>
      <c r="G132" s="364"/>
      <c r="H132" s="351"/>
      <c r="I132" s="351">
        <v>130</v>
      </c>
      <c r="J132" s="352"/>
      <c r="K132" s="353"/>
      <c r="L132" s="353"/>
      <c r="M132" s="354"/>
      <c r="N132" s="354"/>
      <c r="O132" s="354"/>
      <c r="P132" s="354"/>
      <c r="Q132" s="354"/>
      <c r="R132" s="354"/>
      <c r="S132" s="354"/>
      <c r="T132" s="354"/>
      <c r="U132" s="365">
        <f>SUM(tblBacklog[[#This Row],[Funcional]:[PC QA]])</f>
        <v>0</v>
      </c>
      <c r="V132" s="354"/>
      <c r="W132" s="352"/>
      <c r="X132" s="355"/>
      <c r="Y132" s="354"/>
    </row>
    <row r="133" spans="1:25" ht="15">
      <c r="A133" s="375"/>
      <c r="B133" s="361"/>
      <c r="C133" s="351"/>
      <c r="D133" s="362"/>
      <c r="E133" s="351"/>
      <c r="F133" s="363"/>
      <c r="G133" s="364"/>
      <c r="H133" s="351"/>
      <c r="I133" s="351">
        <v>131</v>
      </c>
      <c r="J133" s="352"/>
      <c r="K133" s="353"/>
      <c r="L133" s="353"/>
      <c r="M133" s="354"/>
      <c r="N133" s="354"/>
      <c r="O133" s="354"/>
      <c r="P133" s="354"/>
      <c r="Q133" s="354"/>
      <c r="R133" s="354"/>
      <c r="S133" s="354"/>
      <c r="T133" s="354"/>
      <c r="U133" s="365">
        <f>SUM(tblBacklog[[#This Row],[Funcional]:[PC QA]])</f>
        <v>0</v>
      </c>
      <c r="V133" s="354"/>
      <c r="W133" s="352"/>
      <c r="X133" s="355"/>
      <c r="Y133" s="354"/>
    </row>
    <row r="134" spans="1:25" ht="15">
      <c r="A134" s="376"/>
      <c r="B134" s="361"/>
      <c r="C134" s="351"/>
      <c r="D134" s="362"/>
      <c r="E134" s="351"/>
      <c r="F134" s="363"/>
      <c r="G134" s="364"/>
      <c r="H134" s="351"/>
      <c r="I134" s="351">
        <v>132</v>
      </c>
      <c r="J134" s="352"/>
      <c r="K134" s="353"/>
      <c r="L134" s="353"/>
      <c r="M134" s="354"/>
      <c r="N134" s="354"/>
      <c r="O134" s="354"/>
      <c r="P134" s="354"/>
      <c r="Q134" s="354"/>
      <c r="R134" s="354"/>
      <c r="S134" s="354"/>
      <c r="T134" s="354"/>
      <c r="U134" s="365">
        <f>SUM(tblBacklog[[#This Row],[Funcional]:[PC QA]])</f>
        <v>0</v>
      </c>
      <c r="V134" s="354"/>
      <c r="W134" s="352"/>
      <c r="X134" s="355"/>
      <c r="Y134" s="354"/>
    </row>
    <row r="135" spans="1:25" ht="15">
      <c r="A135" s="377"/>
      <c r="B135" s="361"/>
      <c r="C135" s="351"/>
      <c r="D135" s="362"/>
      <c r="E135" s="351"/>
      <c r="F135" s="363"/>
      <c r="G135" s="364"/>
      <c r="H135" s="351"/>
      <c r="I135" s="351">
        <v>133</v>
      </c>
      <c r="J135" s="352"/>
      <c r="K135" s="353"/>
      <c r="L135" s="353"/>
      <c r="M135" s="354"/>
      <c r="N135" s="354"/>
      <c r="O135" s="354"/>
      <c r="P135" s="354"/>
      <c r="Q135" s="354"/>
      <c r="R135" s="354"/>
      <c r="S135" s="354"/>
      <c r="T135" s="354"/>
      <c r="U135" s="365">
        <f>SUM(tblBacklog[[#This Row],[Funcional]:[PC QA]])</f>
        <v>0</v>
      </c>
      <c r="V135" s="354"/>
      <c r="W135" s="352"/>
      <c r="X135" s="355"/>
      <c r="Y135" s="354"/>
    </row>
    <row r="136" spans="1:25" ht="15">
      <c r="A136" s="378"/>
      <c r="B136" s="361"/>
      <c r="C136" s="351"/>
      <c r="D136" s="362"/>
      <c r="E136" s="351"/>
      <c r="F136" s="363"/>
      <c r="G136" s="364"/>
      <c r="H136" s="351"/>
      <c r="I136" s="351">
        <v>134</v>
      </c>
      <c r="J136" s="352"/>
      <c r="K136" s="353"/>
      <c r="L136" s="353"/>
      <c r="M136" s="354"/>
      <c r="N136" s="354"/>
      <c r="O136" s="354"/>
      <c r="P136" s="354"/>
      <c r="Q136" s="354"/>
      <c r="R136" s="354"/>
      <c r="S136" s="354"/>
      <c r="T136" s="354"/>
      <c r="U136" s="365">
        <f>SUM(tblBacklog[[#This Row],[Funcional]:[PC QA]])</f>
        <v>0</v>
      </c>
      <c r="V136" s="354"/>
      <c r="W136" s="352"/>
      <c r="X136" s="355"/>
      <c r="Y136" s="354"/>
    </row>
    <row r="137" spans="1:25" ht="15">
      <c r="A137" s="379"/>
      <c r="B137" s="361"/>
      <c r="C137" s="351"/>
      <c r="D137" s="362"/>
      <c r="E137" s="351"/>
      <c r="F137" s="363"/>
      <c r="G137" s="364"/>
      <c r="H137" s="351"/>
      <c r="I137" s="351">
        <v>135</v>
      </c>
      <c r="J137" s="352"/>
      <c r="K137" s="353"/>
      <c r="L137" s="353"/>
      <c r="M137" s="354"/>
      <c r="N137" s="354"/>
      <c r="O137" s="354"/>
      <c r="P137" s="354"/>
      <c r="Q137" s="354"/>
      <c r="R137" s="354"/>
      <c r="S137" s="354"/>
      <c r="T137" s="354"/>
      <c r="U137" s="365">
        <f>SUM(tblBacklog[[#This Row],[Funcional]:[PC QA]])</f>
        <v>0</v>
      </c>
      <c r="V137" s="354"/>
      <c r="W137" s="352"/>
      <c r="X137" s="355"/>
      <c r="Y137" s="354"/>
    </row>
    <row r="138" spans="1:25" ht="15">
      <c r="A138" s="380"/>
      <c r="B138" s="361"/>
      <c r="C138" s="351"/>
      <c r="D138" s="362"/>
      <c r="E138" s="351"/>
      <c r="F138" s="363"/>
      <c r="G138" s="364"/>
      <c r="H138" s="351"/>
      <c r="I138" s="351">
        <v>136</v>
      </c>
      <c r="J138" s="352"/>
      <c r="K138" s="353"/>
      <c r="L138" s="353"/>
      <c r="M138" s="354"/>
      <c r="N138" s="354"/>
      <c r="O138" s="354"/>
      <c r="P138" s="354"/>
      <c r="Q138" s="354"/>
      <c r="R138" s="354"/>
      <c r="S138" s="354"/>
      <c r="T138" s="354"/>
      <c r="U138" s="365">
        <f>SUM(tblBacklog[[#This Row],[Funcional]:[PC QA]])</f>
        <v>0</v>
      </c>
      <c r="V138" s="354"/>
      <c r="W138" s="352"/>
      <c r="X138" s="355"/>
      <c r="Y138" s="354"/>
    </row>
    <row r="139" spans="1:25" ht="15">
      <c r="A139" s="381"/>
      <c r="B139" s="361"/>
      <c r="C139" s="351"/>
      <c r="D139" s="362"/>
      <c r="E139" s="351"/>
      <c r="F139" s="363"/>
      <c r="G139" s="364"/>
      <c r="H139" s="351"/>
      <c r="I139" s="351">
        <v>137</v>
      </c>
      <c r="J139" s="352"/>
      <c r="K139" s="353"/>
      <c r="L139" s="353"/>
      <c r="M139" s="354"/>
      <c r="N139" s="354"/>
      <c r="O139" s="354"/>
      <c r="P139" s="354"/>
      <c r="Q139" s="354"/>
      <c r="R139" s="354"/>
      <c r="S139" s="354"/>
      <c r="T139" s="354"/>
      <c r="U139" s="365">
        <f>SUM(tblBacklog[[#This Row],[Funcional]:[PC QA]])</f>
        <v>0</v>
      </c>
      <c r="V139" s="354"/>
      <c r="W139" s="352"/>
      <c r="X139" s="355"/>
      <c r="Y139" s="354"/>
    </row>
    <row r="140" spans="1:25" ht="15">
      <c r="A140" s="382"/>
      <c r="B140" s="361"/>
      <c r="C140" s="351"/>
      <c r="D140" s="362"/>
      <c r="E140" s="351"/>
      <c r="F140" s="363"/>
      <c r="G140" s="364"/>
      <c r="H140" s="351"/>
      <c r="I140" s="351">
        <v>138</v>
      </c>
      <c r="J140" s="352"/>
      <c r="K140" s="353"/>
      <c r="L140" s="353"/>
      <c r="M140" s="354"/>
      <c r="N140" s="354"/>
      <c r="O140" s="354"/>
      <c r="P140" s="354"/>
      <c r="Q140" s="354"/>
      <c r="R140" s="354"/>
      <c r="S140" s="354"/>
      <c r="T140" s="354"/>
      <c r="U140" s="365">
        <f>SUM(tblBacklog[[#This Row],[Funcional]:[PC QA]])</f>
        <v>0</v>
      </c>
      <c r="V140" s="354"/>
      <c r="W140" s="352"/>
      <c r="X140" s="355"/>
      <c r="Y140" s="354"/>
    </row>
    <row r="141" spans="1:25" ht="15">
      <c r="A141" s="383"/>
      <c r="B141" s="361"/>
      <c r="C141" s="351"/>
      <c r="D141" s="362"/>
      <c r="E141" s="351"/>
      <c r="F141" s="363"/>
      <c r="G141" s="364"/>
      <c r="H141" s="351"/>
      <c r="I141" s="351">
        <v>139</v>
      </c>
      <c r="J141" s="352"/>
      <c r="K141" s="353"/>
      <c r="L141" s="353"/>
      <c r="M141" s="354"/>
      <c r="N141" s="354"/>
      <c r="O141" s="354"/>
      <c r="P141" s="354"/>
      <c r="Q141" s="354"/>
      <c r="R141" s="354"/>
      <c r="S141" s="354"/>
      <c r="T141" s="354"/>
      <c r="U141" s="365">
        <f>SUM(tblBacklog[[#This Row],[Funcional]:[PC QA]])</f>
        <v>0</v>
      </c>
      <c r="V141" s="354"/>
      <c r="W141" s="352"/>
      <c r="X141" s="355"/>
      <c r="Y141" s="354"/>
    </row>
    <row r="142" spans="1:25" ht="30.75" customHeight="1">
      <c r="A142" s="384"/>
      <c r="B142" s="361"/>
      <c r="C142" s="351"/>
      <c r="D142" s="362"/>
      <c r="E142" s="351"/>
      <c r="F142" s="363"/>
      <c r="G142" s="364"/>
      <c r="H142" s="351"/>
      <c r="I142" s="351">
        <v>140</v>
      </c>
      <c r="J142" s="352"/>
      <c r="K142" s="353"/>
      <c r="L142" s="353"/>
      <c r="M142" s="354"/>
      <c r="N142" s="354"/>
      <c r="O142" s="354"/>
      <c r="P142" s="354"/>
      <c r="Q142" s="354"/>
      <c r="R142" s="354"/>
      <c r="S142" s="354"/>
      <c r="T142" s="354"/>
      <c r="U142" s="365">
        <f>SUM(tblBacklog[[#This Row],[Funcional]:[PC QA]])</f>
        <v>0</v>
      </c>
      <c r="V142" s="354"/>
      <c r="W142" s="352"/>
      <c r="X142" s="355"/>
      <c r="Y142" s="354"/>
    </row>
    <row r="143" spans="1:25" ht="15">
      <c r="A143" s="370"/>
      <c r="B143" s="361"/>
      <c r="C143" s="351"/>
      <c r="D143" s="362"/>
      <c r="E143" s="351"/>
      <c r="F143" s="363"/>
      <c r="G143" s="364"/>
      <c r="H143" s="351"/>
      <c r="I143" s="351">
        <v>141</v>
      </c>
      <c r="J143" s="352"/>
      <c r="K143" s="353"/>
      <c r="L143" s="353"/>
      <c r="M143" s="354"/>
      <c r="N143" s="354"/>
      <c r="O143" s="354"/>
      <c r="P143" s="354"/>
      <c r="Q143" s="354"/>
      <c r="R143" s="354"/>
      <c r="S143" s="354"/>
      <c r="T143" s="354"/>
      <c r="U143" s="365">
        <f>SUM(tblBacklog[[#This Row],[Funcional]:[PC QA]])</f>
        <v>0</v>
      </c>
      <c r="V143" s="354"/>
      <c r="W143" s="352"/>
      <c r="X143" s="355"/>
      <c r="Y143" s="354"/>
    </row>
    <row r="144" spans="1:25" ht="15">
      <c r="A144" s="385"/>
      <c r="B144" s="361"/>
      <c r="C144" s="351"/>
      <c r="D144" s="362"/>
      <c r="E144" s="351"/>
      <c r="F144" s="363"/>
      <c r="G144" s="364"/>
      <c r="H144" s="351"/>
      <c r="I144" s="351">
        <v>142</v>
      </c>
      <c r="J144" s="352"/>
      <c r="K144" s="353"/>
      <c r="L144" s="353"/>
      <c r="M144" s="354"/>
      <c r="N144" s="354"/>
      <c r="O144" s="354"/>
      <c r="P144" s="354"/>
      <c r="Q144" s="354"/>
      <c r="R144" s="354"/>
      <c r="S144" s="354"/>
      <c r="T144" s="354"/>
      <c r="U144" s="365">
        <f>SUM(tblBacklog[[#This Row],[Funcional]:[PC QA]])</f>
        <v>0</v>
      </c>
      <c r="V144" s="354"/>
      <c r="W144" s="352"/>
      <c r="X144" s="355"/>
      <c r="Y144" s="354"/>
    </row>
    <row r="145" spans="1:25" ht="15">
      <c r="A145" s="386"/>
      <c r="B145" s="361"/>
      <c r="C145" s="351"/>
      <c r="D145" s="362"/>
      <c r="E145" s="351"/>
      <c r="F145" s="363"/>
      <c r="G145" s="364"/>
      <c r="H145" s="351"/>
      <c r="I145" s="351">
        <v>143</v>
      </c>
      <c r="J145" s="352"/>
      <c r="K145" s="353"/>
      <c r="L145" s="353"/>
      <c r="M145" s="354"/>
      <c r="N145" s="354"/>
      <c r="O145" s="354"/>
      <c r="P145" s="354"/>
      <c r="Q145" s="354"/>
      <c r="R145" s="354"/>
      <c r="S145" s="354"/>
      <c r="T145" s="354"/>
      <c r="U145" s="365">
        <f>SUM(tblBacklog[[#This Row],[Funcional]:[PC QA]])</f>
        <v>0</v>
      </c>
      <c r="V145" s="354"/>
      <c r="W145" s="352"/>
      <c r="X145" s="355"/>
      <c r="Y145" s="354"/>
    </row>
    <row r="146" spans="1:25" ht="15">
      <c r="A146" s="387"/>
      <c r="B146" s="361"/>
      <c r="C146" s="351"/>
      <c r="D146" s="362"/>
      <c r="E146" s="351"/>
      <c r="F146" s="363"/>
      <c r="G146" s="364"/>
      <c r="H146" s="351"/>
      <c r="I146" s="351">
        <v>144</v>
      </c>
      <c r="J146" s="352"/>
      <c r="K146" s="353"/>
      <c r="L146" s="353"/>
      <c r="M146" s="354"/>
      <c r="N146" s="354"/>
      <c r="O146" s="354"/>
      <c r="P146" s="354"/>
      <c r="Q146" s="354"/>
      <c r="R146" s="354"/>
      <c r="S146" s="354"/>
      <c r="T146" s="354"/>
      <c r="U146" s="365">
        <f>SUM(tblBacklog[[#This Row],[Funcional]:[PC QA]])</f>
        <v>0</v>
      </c>
      <c r="V146" s="354"/>
      <c r="W146" s="352"/>
      <c r="X146" s="355"/>
      <c r="Y146" s="354"/>
    </row>
    <row r="147" spans="1:25" ht="15">
      <c r="A147" s="368"/>
      <c r="B147" s="361"/>
      <c r="C147" s="351"/>
      <c r="D147" s="362"/>
      <c r="E147" s="351"/>
      <c r="F147" s="363"/>
      <c r="G147" s="364"/>
      <c r="H147" s="351"/>
      <c r="I147" s="351">
        <v>145</v>
      </c>
      <c r="J147" s="352"/>
      <c r="K147" s="353"/>
      <c r="L147" s="353"/>
      <c r="M147" s="354"/>
      <c r="N147" s="354"/>
      <c r="O147" s="354"/>
      <c r="P147" s="354"/>
      <c r="Q147" s="354"/>
      <c r="R147" s="354"/>
      <c r="S147" s="354"/>
      <c r="T147" s="354"/>
      <c r="U147" s="365">
        <f>SUM(tblBacklog[[#This Row],[Funcional]:[PC QA]])</f>
        <v>0</v>
      </c>
      <c r="V147" s="354"/>
      <c r="W147" s="352"/>
      <c r="X147" s="355"/>
      <c r="Y147" s="354"/>
    </row>
    <row r="148" spans="1:25" ht="15">
      <c r="A148" s="388"/>
      <c r="B148" s="361"/>
      <c r="C148" s="351"/>
      <c r="D148" s="362"/>
      <c r="E148" s="351"/>
      <c r="F148" s="363"/>
      <c r="G148" s="364"/>
      <c r="H148" s="351"/>
      <c r="I148" s="351">
        <v>146</v>
      </c>
      <c r="J148" s="352"/>
      <c r="K148" s="353"/>
      <c r="L148" s="353"/>
      <c r="M148" s="354"/>
      <c r="N148" s="354"/>
      <c r="O148" s="354"/>
      <c r="P148" s="354"/>
      <c r="Q148" s="354"/>
      <c r="R148" s="354"/>
      <c r="S148" s="354"/>
      <c r="T148" s="354"/>
      <c r="U148" s="365">
        <f>SUM(tblBacklog[[#This Row],[Funcional]:[PC QA]])</f>
        <v>0</v>
      </c>
      <c r="V148" s="354"/>
      <c r="W148" s="352"/>
      <c r="X148" s="355"/>
      <c r="Y148" s="354"/>
    </row>
    <row r="149" spans="1:25" ht="15">
      <c r="A149" s="389"/>
      <c r="B149" s="361"/>
      <c r="C149" s="351"/>
      <c r="D149" s="362"/>
      <c r="E149" s="351"/>
      <c r="F149" s="363"/>
      <c r="G149" s="364"/>
      <c r="H149" s="351"/>
      <c r="I149" s="351">
        <v>147</v>
      </c>
      <c r="J149" s="352"/>
      <c r="K149" s="353"/>
      <c r="L149" s="353"/>
      <c r="M149" s="354"/>
      <c r="N149" s="354"/>
      <c r="O149" s="354"/>
      <c r="P149" s="354"/>
      <c r="Q149" s="354"/>
      <c r="R149" s="354"/>
      <c r="S149" s="354"/>
      <c r="T149" s="354"/>
      <c r="U149" s="365">
        <f>SUM(tblBacklog[[#This Row],[Funcional]:[PC QA]])</f>
        <v>0</v>
      </c>
      <c r="V149" s="354"/>
      <c r="W149" s="352"/>
      <c r="X149" s="355"/>
      <c r="Y149" s="354"/>
    </row>
    <row r="150" spans="1:25" ht="15">
      <c r="A150" s="390"/>
      <c r="B150" s="361"/>
      <c r="C150" s="351"/>
      <c r="D150" s="362"/>
      <c r="E150" s="351"/>
      <c r="F150" s="363"/>
      <c r="G150" s="364"/>
      <c r="H150" s="351"/>
      <c r="I150" s="351">
        <v>148</v>
      </c>
      <c r="J150" s="352"/>
      <c r="K150" s="353"/>
      <c r="L150" s="353"/>
      <c r="M150" s="354"/>
      <c r="N150" s="354"/>
      <c r="O150" s="354"/>
      <c r="P150" s="354"/>
      <c r="Q150" s="354"/>
      <c r="R150" s="354"/>
      <c r="S150" s="354"/>
      <c r="T150" s="354"/>
      <c r="U150" s="365">
        <f>SUM(tblBacklog[[#This Row],[Funcional]:[PC QA]])</f>
        <v>0</v>
      </c>
      <c r="V150" s="354"/>
      <c r="W150" s="352"/>
      <c r="X150" s="355"/>
      <c r="Y150" s="354"/>
    </row>
    <row r="151" spans="1:25" ht="15">
      <c r="A151" s="391"/>
      <c r="B151" s="361"/>
      <c r="C151" s="351"/>
      <c r="D151" s="362"/>
      <c r="E151" s="351"/>
      <c r="F151" s="363"/>
      <c r="G151" s="364"/>
      <c r="H151" s="351"/>
      <c r="I151" s="351">
        <v>149</v>
      </c>
      <c r="J151" s="352"/>
      <c r="K151" s="353"/>
      <c r="L151" s="353"/>
      <c r="M151" s="354"/>
      <c r="N151" s="354"/>
      <c r="O151" s="354"/>
      <c r="P151" s="354"/>
      <c r="Q151" s="354"/>
      <c r="R151" s="354"/>
      <c r="S151" s="354"/>
      <c r="T151" s="354"/>
      <c r="U151" s="365">
        <f>SUM(tblBacklog[[#This Row],[Funcional]:[PC QA]])</f>
        <v>0</v>
      </c>
      <c r="V151" s="354"/>
      <c r="W151" s="352"/>
      <c r="X151" s="355"/>
      <c r="Y151" s="354"/>
    </row>
    <row r="152" spans="1:25" ht="15">
      <c r="A152" s="364"/>
      <c r="B152" s="361"/>
      <c r="C152" s="351"/>
      <c r="D152" s="362"/>
      <c r="E152" s="351"/>
      <c r="F152" s="363"/>
      <c r="G152" s="364"/>
      <c r="H152" s="351"/>
      <c r="I152" s="351">
        <v>150</v>
      </c>
      <c r="J152" s="352"/>
      <c r="K152" s="353"/>
      <c r="L152" s="353"/>
      <c r="M152" s="354"/>
      <c r="N152" s="354"/>
      <c r="O152" s="354"/>
      <c r="P152" s="354"/>
      <c r="Q152" s="354"/>
      <c r="R152" s="354"/>
      <c r="S152" s="354"/>
      <c r="T152" s="354"/>
      <c r="U152" s="365">
        <f>SUM(tblBacklog[[#This Row],[Funcional]:[PC QA]])</f>
        <v>0</v>
      </c>
      <c r="V152" s="354"/>
      <c r="W152" s="352"/>
      <c r="X152" s="355"/>
      <c r="Y152" s="354"/>
    </row>
    <row r="153" spans="1:25" ht="15">
      <c r="A153" s="360"/>
      <c r="B153" s="361"/>
      <c r="C153" s="351"/>
      <c r="D153" s="362"/>
      <c r="E153" s="351"/>
      <c r="F153" s="363"/>
      <c r="G153" s="364"/>
      <c r="H153" s="351"/>
      <c r="I153" s="351">
        <v>151</v>
      </c>
      <c r="J153" s="352"/>
      <c r="K153" s="353"/>
      <c r="L153" s="353"/>
      <c r="M153" s="354"/>
      <c r="N153" s="354"/>
      <c r="O153" s="354"/>
      <c r="P153" s="354"/>
      <c r="Q153" s="354"/>
      <c r="R153" s="354"/>
      <c r="S153" s="354"/>
      <c r="T153" s="354"/>
      <c r="U153" s="365">
        <f>SUM(tblBacklog[[#This Row],[Funcional]:[PC QA]])</f>
        <v>0</v>
      </c>
      <c r="V153" s="354"/>
      <c r="W153" s="352"/>
      <c r="X153" s="355"/>
      <c r="Y153" s="354"/>
    </row>
    <row r="154" spans="1:25" ht="15">
      <c r="A154" s="366"/>
      <c r="B154" s="361"/>
      <c r="C154" s="351"/>
      <c r="D154" s="362"/>
      <c r="E154" s="351"/>
      <c r="F154" s="363"/>
      <c r="G154" s="364"/>
      <c r="H154" s="351"/>
      <c r="I154" s="351">
        <v>152</v>
      </c>
      <c r="J154" s="352"/>
      <c r="K154" s="353"/>
      <c r="L154" s="353"/>
      <c r="M154" s="354"/>
      <c r="N154" s="354"/>
      <c r="O154" s="354"/>
      <c r="P154" s="354"/>
      <c r="Q154" s="354"/>
      <c r="R154" s="354"/>
      <c r="S154" s="354"/>
      <c r="T154" s="354"/>
      <c r="U154" s="365">
        <f>SUM(tblBacklog[[#This Row],[Funcional]:[PC QA]])</f>
        <v>0</v>
      </c>
      <c r="V154" s="354"/>
      <c r="W154" s="352"/>
      <c r="X154" s="355"/>
      <c r="Y154" s="354"/>
    </row>
    <row r="155" spans="1:25" ht="15">
      <c r="A155" s="367"/>
      <c r="B155" s="361"/>
      <c r="C155" s="351"/>
      <c r="D155" s="362"/>
      <c r="E155" s="351"/>
      <c r="F155" s="363"/>
      <c r="G155" s="364"/>
      <c r="H155" s="351"/>
      <c r="I155" s="351">
        <v>153</v>
      </c>
      <c r="J155" s="352"/>
      <c r="K155" s="353"/>
      <c r="L155" s="353"/>
      <c r="M155" s="354"/>
      <c r="N155" s="354"/>
      <c r="O155" s="354"/>
      <c r="P155" s="354"/>
      <c r="Q155" s="354"/>
      <c r="R155" s="354"/>
      <c r="S155" s="354"/>
      <c r="T155" s="354"/>
      <c r="U155" s="365">
        <f>SUM(tblBacklog[[#This Row],[Funcional]:[PC QA]])</f>
        <v>0</v>
      </c>
      <c r="V155" s="354"/>
      <c r="W155" s="352"/>
      <c r="X155" s="355"/>
      <c r="Y155" s="354"/>
    </row>
    <row r="156" spans="1:25" ht="15">
      <c r="A156" s="368"/>
      <c r="B156" s="361"/>
      <c r="C156" s="351"/>
      <c r="D156" s="362"/>
      <c r="E156" s="351"/>
      <c r="F156" s="363"/>
      <c r="G156" s="364"/>
      <c r="H156" s="351"/>
      <c r="I156" s="351">
        <v>154</v>
      </c>
      <c r="J156" s="352"/>
      <c r="K156" s="353"/>
      <c r="L156" s="353"/>
      <c r="M156" s="354"/>
      <c r="N156" s="354"/>
      <c r="O156" s="354"/>
      <c r="P156" s="354"/>
      <c r="Q156" s="354"/>
      <c r="R156" s="354"/>
      <c r="S156" s="354"/>
      <c r="T156" s="354"/>
      <c r="U156" s="365">
        <f>SUM(tblBacklog[[#This Row],[Funcional]:[PC QA]])</f>
        <v>0</v>
      </c>
      <c r="V156" s="354"/>
      <c r="W156" s="352"/>
      <c r="X156" s="355"/>
      <c r="Y156" s="354"/>
    </row>
    <row r="157" spans="1:25" ht="15">
      <c r="A157" s="369"/>
      <c r="B157" s="361"/>
      <c r="C157" s="351"/>
      <c r="D157" s="362"/>
      <c r="E157" s="351"/>
      <c r="F157" s="363"/>
      <c r="G157" s="364"/>
      <c r="H157" s="351"/>
      <c r="I157" s="351">
        <v>155</v>
      </c>
      <c r="J157" s="352"/>
      <c r="K157" s="353"/>
      <c r="L157" s="353"/>
      <c r="M157" s="354"/>
      <c r="N157" s="354"/>
      <c r="O157" s="354"/>
      <c r="P157" s="354"/>
      <c r="Q157" s="354"/>
      <c r="R157" s="354"/>
      <c r="S157" s="354"/>
      <c r="T157" s="354"/>
      <c r="U157" s="365">
        <f>SUM(tblBacklog[[#This Row],[Funcional]:[PC QA]])</f>
        <v>0</v>
      </c>
      <c r="V157" s="354"/>
      <c r="W157" s="352"/>
      <c r="X157" s="355"/>
      <c r="Y157" s="354"/>
    </row>
    <row r="158" spans="1:25" ht="15">
      <c r="A158" s="370"/>
      <c r="B158" s="361"/>
      <c r="C158" s="351"/>
      <c r="D158" s="362"/>
      <c r="E158" s="351"/>
      <c r="F158" s="363"/>
      <c r="G158" s="364"/>
      <c r="H158" s="351"/>
      <c r="I158" s="351">
        <v>156</v>
      </c>
      <c r="J158" s="352"/>
      <c r="K158" s="353"/>
      <c r="L158" s="353"/>
      <c r="M158" s="354"/>
      <c r="N158" s="354"/>
      <c r="O158" s="354"/>
      <c r="P158" s="354"/>
      <c r="Q158" s="354"/>
      <c r="R158" s="354"/>
      <c r="S158" s="354"/>
      <c r="T158" s="354"/>
      <c r="U158" s="365">
        <f>SUM(tblBacklog[[#This Row],[Funcional]:[PC QA]])</f>
        <v>0</v>
      </c>
      <c r="V158" s="354"/>
      <c r="W158" s="352"/>
      <c r="X158" s="355"/>
      <c r="Y158" s="354"/>
    </row>
    <row r="159" spans="1:25" ht="15">
      <c r="A159" s="371"/>
      <c r="B159" s="361"/>
      <c r="C159" s="351"/>
      <c r="D159" s="362"/>
      <c r="E159" s="351"/>
      <c r="F159" s="363"/>
      <c r="G159" s="364"/>
      <c r="H159" s="351"/>
      <c r="I159" s="351">
        <v>157</v>
      </c>
      <c r="J159" s="352"/>
      <c r="K159" s="353"/>
      <c r="L159" s="353"/>
      <c r="M159" s="354"/>
      <c r="N159" s="354"/>
      <c r="O159" s="354"/>
      <c r="P159" s="354"/>
      <c r="Q159" s="354"/>
      <c r="R159" s="354"/>
      <c r="S159" s="354"/>
      <c r="T159" s="354"/>
      <c r="U159" s="365">
        <f>SUM(tblBacklog[[#This Row],[Funcional]:[PC QA]])</f>
        <v>0</v>
      </c>
      <c r="V159" s="354"/>
      <c r="W159" s="352"/>
      <c r="X159" s="355"/>
      <c r="Y159" s="354"/>
    </row>
    <row r="160" spans="1:25" ht="15">
      <c r="A160" s="372"/>
      <c r="B160" s="361"/>
      <c r="C160" s="351"/>
      <c r="D160" s="362"/>
      <c r="E160" s="351"/>
      <c r="F160" s="363"/>
      <c r="G160" s="364"/>
      <c r="H160" s="351"/>
      <c r="I160" s="351">
        <v>158</v>
      </c>
      <c r="J160" s="352"/>
      <c r="K160" s="353"/>
      <c r="L160" s="353"/>
      <c r="M160" s="354"/>
      <c r="N160" s="354"/>
      <c r="O160" s="354"/>
      <c r="P160" s="354"/>
      <c r="Q160" s="354"/>
      <c r="R160" s="354"/>
      <c r="S160" s="354"/>
      <c r="T160" s="354"/>
      <c r="U160" s="365">
        <f>SUM(tblBacklog[[#This Row],[Funcional]:[PC QA]])</f>
        <v>0</v>
      </c>
      <c r="V160" s="354"/>
      <c r="W160" s="352"/>
      <c r="X160" s="355"/>
      <c r="Y160" s="354"/>
    </row>
    <row r="161" spans="1:25" ht="15">
      <c r="A161" s="373"/>
      <c r="B161" s="361"/>
      <c r="C161" s="351"/>
      <c r="D161" s="362"/>
      <c r="E161" s="351"/>
      <c r="F161" s="363"/>
      <c r="G161" s="364"/>
      <c r="H161" s="351"/>
      <c r="I161" s="351">
        <v>159</v>
      </c>
      <c r="J161" s="352"/>
      <c r="K161" s="353"/>
      <c r="L161" s="353"/>
      <c r="M161" s="354"/>
      <c r="N161" s="354"/>
      <c r="O161" s="354"/>
      <c r="P161" s="354"/>
      <c r="Q161" s="354"/>
      <c r="R161" s="354"/>
      <c r="S161" s="354"/>
      <c r="T161" s="354"/>
      <c r="U161" s="365">
        <f>SUM(tblBacklog[[#This Row],[Funcional]:[PC QA]])</f>
        <v>0</v>
      </c>
      <c r="V161" s="354"/>
      <c r="W161" s="352"/>
      <c r="X161" s="355"/>
      <c r="Y161" s="354"/>
    </row>
    <row r="162" spans="1:25" ht="15">
      <c r="A162" s="374"/>
      <c r="B162" s="361"/>
      <c r="C162" s="351"/>
      <c r="D162" s="362"/>
      <c r="E162" s="351"/>
      <c r="F162" s="363"/>
      <c r="G162" s="364"/>
      <c r="H162" s="351"/>
      <c r="I162" s="351">
        <v>160</v>
      </c>
      <c r="J162" s="352"/>
      <c r="K162" s="353"/>
      <c r="L162" s="353"/>
      <c r="M162" s="354"/>
      <c r="N162" s="354"/>
      <c r="O162" s="354"/>
      <c r="P162" s="354"/>
      <c r="Q162" s="354"/>
      <c r="R162" s="354"/>
      <c r="S162" s="354"/>
      <c r="T162" s="354"/>
      <c r="U162" s="365">
        <f>SUM(tblBacklog[[#This Row],[Funcional]:[PC QA]])</f>
        <v>0</v>
      </c>
      <c r="V162" s="354"/>
      <c r="W162" s="352"/>
      <c r="X162" s="355"/>
      <c r="Y162" s="354"/>
    </row>
    <row r="163" spans="1:25" ht="15">
      <c r="A163" s="375"/>
      <c r="B163" s="361"/>
      <c r="C163" s="351"/>
      <c r="D163" s="362"/>
      <c r="E163" s="351"/>
      <c r="F163" s="363"/>
      <c r="G163" s="364"/>
      <c r="H163" s="351"/>
      <c r="I163" s="351">
        <v>161</v>
      </c>
      <c r="J163" s="352"/>
      <c r="K163" s="353"/>
      <c r="L163" s="353"/>
      <c r="M163" s="354"/>
      <c r="N163" s="354"/>
      <c r="O163" s="354"/>
      <c r="P163" s="354"/>
      <c r="Q163" s="354"/>
      <c r="R163" s="354"/>
      <c r="S163" s="354"/>
      <c r="T163" s="354"/>
      <c r="U163" s="365">
        <f>SUM(tblBacklog[[#This Row],[Funcional]:[PC QA]])</f>
        <v>0</v>
      </c>
      <c r="V163" s="354"/>
      <c r="W163" s="352"/>
      <c r="X163" s="355"/>
      <c r="Y163" s="354"/>
    </row>
    <row r="164" spans="1:25" ht="15">
      <c r="A164" s="376"/>
      <c r="B164" s="361"/>
      <c r="C164" s="351"/>
      <c r="D164" s="362"/>
      <c r="E164" s="351"/>
      <c r="F164" s="363"/>
      <c r="G164" s="364"/>
      <c r="H164" s="351"/>
      <c r="I164" s="351">
        <v>162</v>
      </c>
      <c r="J164" s="352"/>
      <c r="K164" s="353"/>
      <c r="L164" s="353"/>
      <c r="M164" s="354"/>
      <c r="N164" s="354"/>
      <c r="O164" s="354"/>
      <c r="P164" s="354"/>
      <c r="Q164" s="354"/>
      <c r="R164" s="354"/>
      <c r="S164" s="354"/>
      <c r="T164" s="354"/>
      <c r="U164" s="365">
        <f>SUM(tblBacklog[[#This Row],[Funcional]:[PC QA]])</f>
        <v>0</v>
      </c>
      <c r="V164" s="354"/>
      <c r="W164" s="352"/>
      <c r="X164" s="355"/>
      <c r="Y164" s="354"/>
    </row>
    <row r="165" spans="1:25" ht="15">
      <c r="A165" s="377"/>
      <c r="B165" s="361"/>
      <c r="C165" s="351"/>
      <c r="D165" s="362"/>
      <c r="E165" s="351"/>
      <c r="F165" s="363"/>
      <c r="G165" s="364"/>
      <c r="H165" s="351"/>
      <c r="I165" s="351">
        <v>163</v>
      </c>
      <c r="J165" s="352"/>
      <c r="K165" s="353"/>
      <c r="L165" s="353"/>
      <c r="M165" s="354"/>
      <c r="N165" s="354"/>
      <c r="O165" s="354"/>
      <c r="P165" s="354"/>
      <c r="Q165" s="354"/>
      <c r="R165" s="354"/>
      <c r="S165" s="354"/>
      <c r="T165" s="354"/>
      <c r="U165" s="365">
        <f>SUM(tblBacklog[[#This Row],[Funcional]:[PC QA]])</f>
        <v>0</v>
      </c>
      <c r="V165" s="354"/>
      <c r="W165" s="352"/>
      <c r="X165" s="355"/>
      <c r="Y165" s="354"/>
    </row>
    <row r="166" spans="1:25" ht="15">
      <c r="A166" s="378"/>
      <c r="B166" s="361"/>
      <c r="C166" s="351"/>
      <c r="D166" s="362"/>
      <c r="E166" s="351"/>
      <c r="F166" s="363"/>
      <c r="G166" s="364"/>
      <c r="H166" s="351"/>
      <c r="I166" s="351">
        <v>164</v>
      </c>
      <c r="J166" s="352"/>
      <c r="K166" s="353"/>
      <c r="L166" s="353"/>
      <c r="M166" s="354"/>
      <c r="N166" s="354"/>
      <c r="O166" s="354"/>
      <c r="P166" s="354"/>
      <c r="Q166" s="354"/>
      <c r="R166" s="354"/>
      <c r="S166" s="354"/>
      <c r="T166" s="354"/>
      <c r="U166" s="365">
        <f>SUM(tblBacklog[[#This Row],[Funcional]:[PC QA]])</f>
        <v>0</v>
      </c>
      <c r="V166" s="354"/>
      <c r="W166" s="352"/>
      <c r="X166" s="355"/>
      <c r="Y166" s="354"/>
    </row>
    <row r="167" spans="1:25" ht="15">
      <c r="A167" s="379"/>
      <c r="B167" s="361"/>
      <c r="C167" s="351"/>
      <c r="D167" s="362"/>
      <c r="E167" s="351"/>
      <c r="F167" s="363"/>
      <c r="G167" s="364"/>
      <c r="H167" s="351"/>
      <c r="I167" s="351">
        <v>165</v>
      </c>
      <c r="J167" s="352"/>
      <c r="K167" s="353"/>
      <c r="L167" s="353"/>
      <c r="M167" s="354"/>
      <c r="N167" s="354"/>
      <c r="O167" s="354"/>
      <c r="P167" s="354"/>
      <c r="Q167" s="354"/>
      <c r="R167" s="354"/>
      <c r="S167" s="354"/>
      <c r="T167" s="354"/>
      <c r="U167" s="365">
        <f>SUM(tblBacklog[[#This Row],[Funcional]:[PC QA]])</f>
        <v>0</v>
      </c>
      <c r="V167" s="354"/>
      <c r="W167" s="352"/>
      <c r="X167" s="355"/>
      <c r="Y167" s="354"/>
    </row>
    <row r="168" spans="1:25" ht="15">
      <c r="A168" s="380"/>
      <c r="B168" s="361"/>
      <c r="C168" s="351"/>
      <c r="D168" s="362"/>
      <c r="E168" s="351"/>
      <c r="F168" s="363"/>
      <c r="G168" s="364"/>
      <c r="H168" s="351"/>
      <c r="I168" s="351">
        <v>166</v>
      </c>
      <c r="J168" s="352"/>
      <c r="K168" s="353"/>
      <c r="L168" s="353"/>
      <c r="M168" s="354"/>
      <c r="N168" s="354"/>
      <c r="O168" s="354"/>
      <c r="P168" s="354"/>
      <c r="Q168" s="354"/>
      <c r="R168" s="354"/>
      <c r="S168" s="354"/>
      <c r="T168" s="354"/>
      <c r="U168" s="365">
        <f>SUM(tblBacklog[[#This Row],[Funcional]:[PC QA]])</f>
        <v>0</v>
      </c>
      <c r="V168" s="354"/>
      <c r="W168" s="352"/>
      <c r="X168" s="355"/>
      <c r="Y168" s="354"/>
    </row>
    <row r="169" spans="1:25" ht="15">
      <c r="A169" s="381"/>
      <c r="B169" s="361"/>
      <c r="C169" s="351"/>
      <c r="D169" s="362"/>
      <c r="E169" s="351"/>
      <c r="F169" s="363"/>
      <c r="G169" s="364"/>
      <c r="H169" s="351"/>
      <c r="I169" s="351">
        <v>167</v>
      </c>
      <c r="J169" s="352"/>
      <c r="K169" s="353"/>
      <c r="L169" s="353"/>
      <c r="M169" s="354"/>
      <c r="N169" s="354"/>
      <c r="O169" s="354"/>
      <c r="P169" s="354"/>
      <c r="Q169" s="354"/>
      <c r="R169" s="354"/>
      <c r="S169" s="354"/>
      <c r="T169" s="354"/>
      <c r="U169" s="365">
        <f>SUM(tblBacklog[[#This Row],[Funcional]:[PC QA]])</f>
        <v>0</v>
      </c>
      <c r="V169" s="354"/>
      <c r="W169" s="352"/>
      <c r="X169" s="355"/>
      <c r="Y169" s="354"/>
    </row>
    <row r="170" spans="1:25" ht="15">
      <c r="A170" s="382"/>
      <c r="B170" s="361"/>
      <c r="C170" s="351"/>
      <c r="D170" s="362"/>
      <c r="E170" s="351"/>
      <c r="F170" s="363"/>
      <c r="G170" s="364"/>
      <c r="H170" s="351"/>
      <c r="I170" s="351">
        <v>168</v>
      </c>
      <c r="J170" s="352"/>
      <c r="K170" s="353"/>
      <c r="L170" s="353"/>
      <c r="M170" s="354"/>
      <c r="N170" s="354"/>
      <c r="O170" s="354"/>
      <c r="P170" s="354"/>
      <c r="Q170" s="354"/>
      <c r="R170" s="354"/>
      <c r="S170" s="354"/>
      <c r="T170" s="354"/>
      <c r="U170" s="365">
        <f>SUM(tblBacklog[[#This Row],[Funcional]:[PC QA]])</f>
        <v>0</v>
      </c>
      <c r="V170" s="354"/>
      <c r="W170" s="352"/>
      <c r="X170" s="355"/>
      <c r="Y170" s="354"/>
    </row>
    <row r="171" spans="1:25" ht="15">
      <c r="A171" s="383"/>
      <c r="B171" s="361"/>
      <c r="C171" s="351"/>
      <c r="D171" s="362"/>
      <c r="E171" s="351"/>
      <c r="F171" s="363"/>
      <c r="G171" s="364"/>
      <c r="H171" s="351"/>
      <c r="I171" s="351">
        <v>169</v>
      </c>
      <c r="J171" s="352"/>
      <c r="K171" s="353"/>
      <c r="L171" s="353"/>
      <c r="M171" s="354"/>
      <c r="N171" s="354"/>
      <c r="O171" s="354"/>
      <c r="P171" s="354"/>
      <c r="Q171" s="354"/>
      <c r="R171" s="354"/>
      <c r="S171" s="354"/>
      <c r="T171" s="354"/>
      <c r="U171" s="365">
        <f>SUM(tblBacklog[[#This Row],[Funcional]:[PC QA]])</f>
        <v>0</v>
      </c>
      <c r="V171" s="354"/>
      <c r="W171" s="352"/>
      <c r="X171" s="355"/>
      <c r="Y171" s="354"/>
    </row>
    <row r="172" spans="1:25" ht="15">
      <c r="A172" s="384"/>
      <c r="B172" s="361"/>
      <c r="C172" s="351"/>
      <c r="D172" s="362"/>
      <c r="E172" s="351"/>
      <c r="F172" s="363"/>
      <c r="G172" s="364"/>
      <c r="H172" s="351"/>
      <c r="I172" s="351">
        <v>170</v>
      </c>
      <c r="J172" s="352"/>
      <c r="K172" s="353"/>
      <c r="L172" s="353"/>
      <c r="M172" s="354"/>
      <c r="N172" s="354"/>
      <c r="O172" s="354"/>
      <c r="P172" s="354"/>
      <c r="Q172" s="354"/>
      <c r="R172" s="354"/>
      <c r="S172" s="354"/>
      <c r="T172" s="354"/>
      <c r="U172" s="365">
        <f>SUM(tblBacklog[[#This Row],[Funcional]:[PC QA]])</f>
        <v>0</v>
      </c>
      <c r="V172" s="354"/>
      <c r="W172" s="352"/>
      <c r="X172" s="355"/>
      <c r="Y172" s="354"/>
    </row>
    <row r="173" spans="1:25" ht="15">
      <c r="A173" s="370"/>
      <c r="B173" s="361"/>
      <c r="C173" s="351"/>
      <c r="D173" s="362"/>
      <c r="E173" s="351"/>
      <c r="F173" s="363"/>
      <c r="G173" s="364"/>
      <c r="H173" s="351"/>
      <c r="I173" s="351">
        <v>171</v>
      </c>
      <c r="J173" s="352"/>
      <c r="K173" s="353"/>
      <c r="L173" s="353"/>
      <c r="M173" s="354"/>
      <c r="N173" s="354"/>
      <c r="O173" s="354"/>
      <c r="P173" s="354"/>
      <c r="Q173" s="354"/>
      <c r="R173" s="354"/>
      <c r="S173" s="354"/>
      <c r="T173" s="354"/>
      <c r="U173" s="365">
        <f>SUM(tblBacklog[[#This Row],[Funcional]:[PC QA]])</f>
        <v>0</v>
      </c>
      <c r="V173" s="354"/>
      <c r="W173" s="352"/>
      <c r="X173" s="355"/>
      <c r="Y173" s="354"/>
    </row>
    <row r="174" spans="1:25" ht="15">
      <c r="A174" s="385"/>
      <c r="B174" s="361"/>
      <c r="C174" s="351"/>
      <c r="D174" s="362"/>
      <c r="E174" s="351"/>
      <c r="F174" s="363"/>
      <c r="G174" s="364"/>
      <c r="H174" s="351"/>
      <c r="I174" s="351">
        <v>172</v>
      </c>
      <c r="J174" s="352"/>
      <c r="K174" s="353"/>
      <c r="L174" s="353"/>
      <c r="M174" s="354"/>
      <c r="N174" s="354"/>
      <c r="O174" s="354"/>
      <c r="P174" s="354"/>
      <c r="Q174" s="354"/>
      <c r="R174" s="354"/>
      <c r="S174" s="354"/>
      <c r="T174" s="354"/>
      <c r="U174" s="365">
        <f>SUM(tblBacklog[[#This Row],[Funcional]:[PC QA]])</f>
        <v>0</v>
      </c>
      <c r="V174" s="354"/>
      <c r="W174" s="352"/>
      <c r="X174" s="355"/>
      <c r="Y174" s="354"/>
    </row>
    <row r="175" spans="1:25" ht="15">
      <c r="A175" s="386"/>
      <c r="B175" s="361"/>
      <c r="C175" s="351"/>
      <c r="D175" s="362"/>
      <c r="E175" s="351"/>
      <c r="F175" s="363"/>
      <c r="G175" s="364"/>
      <c r="H175" s="351"/>
      <c r="I175" s="351">
        <v>173</v>
      </c>
      <c r="J175" s="352"/>
      <c r="K175" s="353"/>
      <c r="L175" s="353"/>
      <c r="M175" s="354"/>
      <c r="N175" s="354"/>
      <c r="O175" s="354"/>
      <c r="P175" s="354"/>
      <c r="Q175" s="354"/>
      <c r="R175" s="354"/>
      <c r="S175" s="354"/>
      <c r="T175" s="354"/>
      <c r="U175" s="365">
        <f>SUM(tblBacklog[[#This Row],[Funcional]:[PC QA]])</f>
        <v>0</v>
      </c>
      <c r="V175" s="354"/>
      <c r="W175" s="352"/>
      <c r="X175" s="355"/>
      <c r="Y175" s="354"/>
    </row>
    <row r="176" spans="1:25" ht="15">
      <c r="A176" s="387"/>
      <c r="B176" s="361"/>
      <c r="C176" s="351"/>
      <c r="D176" s="362"/>
      <c r="E176" s="351"/>
      <c r="F176" s="363"/>
      <c r="G176" s="364"/>
      <c r="H176" s="351"/>
      <c r="I176" s="351">
        <v>174</v>
      </c>
      <c r="J176" s="352"/>
      <c r="K176" s="353"/>
      <c r="L176" s="353"/>
      <c r="M176" s="354"/>
      <c r="N176" s="354"/>
      <c r="O176" s="354"/>
      <c r="P176" s="354"/>
      <c r="Q176" s="354"/>
      <c r="R176" s="354"/>
      <c r="S176" s="354"/>
      <c r="T176" s="354"/>
      <c r="U176" s="365">
        <f>SUM(tblBacklog[[#This Row],[Funcional]:[PC QA]])</f>
        <v>0</v>
      </c>
      <c r="V176" s="354"/>
      <c r="W176" s="352"/>
      <c r="X176" s="355"/>
      <c r="Y176" s="354"/>
    </row>
    <row r="177" spans="1:25" ht="15">
      <c r="A177" s="368"/>
      <c r="B177" s="361"/>
      <c r="C177" s="351"/>
      <c r="D177" s="362"/>
      <c r="E177" s="351"/>
      <c r="F177" s="363"/>
      <c r="G177" s="364"/>
      <c r="H177" s="351"/>
      <c r="I177" s="351">
        <v>175</v>
      </c>
      <c r="J177" s="352"/>
      <c r="K177" s="353"/>
      <c r="L177" s="353"/>
      <c r="M177" s="354"/>
      <c r="N177" s="354"/>
      <c r="O177" s="354"/>
      <c r="P177" s="354"/>
      <c r="Q177" s="354"/>
      <c r="R177" s="354"/>
      <c r="S177" s="354"/>
      <c r="T177" s="354"/>
      <c r="U177" s="365">
        <f>SUM(tblBacklog[[#This Row],[Funcional]:[PC QA]])</f>
        <v>0</v>
      </c>
      <c r="V177" s="354"/>
      <c r="W177" s="352"/>
      <c r="X177" s="355"/>
      <c r="Y177" s="354"/>
    </row>
    <row r="178" spans="1:25" ht="15">
      <c r="A178" s="388"/>
      <c r="B178" s="361"/>
      <c r="C178" s="351"/>
      <c r="D178" s="362"/>
      <c r="E178" s="351"/>
      <c r="F178" s="363"/>
      <c r="G178" s="364"/>
      <c r="H178" s="351"/>
      <c r="I178" s="351">
        <v>176</v>
      </c>
      <c r="J178" s="352"/>
      <c r="K178" s="353"/>
      <c r="L178" s="353"/>
      <c r="M178" s="354"/>
      <c r="N178" s="354"/>
      <c r="O178" s="354"/>
      <c r="P178" s="354"/>
      <c r="Q178" s="354"/>
      <c r="R178" s="354"/>
      <c r="S178" s="354"/>
      <c r="T178" s="354"/>
      <c r="U178" s="365">
        <f>SUM(tblBacklog[[#This Row],[Funcional]:[PC QA]])</f>
        <v>0</v>
      </c>
      <c r="V178" s="354"/>
      <c r="W178" s="352"/>
      <c r="X178" s="355"/>
      <c r="Y178" s="354"/>
    </row>
    <row r="179" spans="1:25" ht="15">
      <c r="A179" s="389"/>
      <c r="B179" s="361"/>
      <c r="C179" s="351"/>
      <c r="D179" s="362"/>
      <c r="E179" s="351"/>
      <c r="F179" s="363"/>
      <c r="G179" s="364"/>
      <c r="H179" s="351"/>
      <c r="I179" s="351">
        <v>177</v>
      </c>
      <c r="J179" s="352"/>
      <c r="K179" s="353"/>
      <c r="L179" s="353"/>
      <c r="M179" s="354"/>
      <c r="N179" s="354"/>
      <c r="O179" s="354"/>
      <c r="P179" s="354"/>
      <c r="Q179" s="354"/>
      <c r="R179" s="354"/>
      <c r="S179" s="354"/>
      <c r="T179" s="354"/>
      <c r="U179" s="365">
        <f>SUM(tblBacklog[[#This Row],[Funcional]:[PC QA]])</f>
        <v>0</v>
      </c>
      <c r="V179" s="354"/>
      <c r="W179" s="352"/>
      <c r="X179" s="355"/>
      <c r="Y179" s="354"/>
    </row>
    <row r="180" spans="1:25" ht="15">
      <c r="A180" s="390"/>
      <c r="B180" s="361"/>
      <c r="C180" s="351"/>
      <c r="D180" s="362"/>
      <c r="E180" s="351"/>
      <c r="F180" s="363"/>
      <c r="G180" s="364"/>
      <c r="H180" s="351"/>
      <c r="I180" s="351">
        <v>178</v>
      </c>
      <c r="J180" s="352"/>
      <c r="K180" s="353"/>
      <c r="L180" s="353"/>
      <c r="M180" s="354"/>
      <c r="N180" s="354"/>
      <c r="O180" s="354"/>
      <c r="P180" s="354"/>
      <c r="Q180" s="354"/>
      <c r="R180" s="354"/>
      <c r="S180" s="354"/>
      <c r="T180" s="354"/>
      <c r="U180" s="365">
        <f>SUM(tblBacklog[[#This Row],[Funcional]:[PC QA]])</f>
        <v>0</v>
      </c>
      <c r="V180" s="354"/>
      <c r="W180" s="352"/>
      <c r="X180" s="355"/>
      <c r="Y180" s="354"/>
    </row>
    <row r="181" spans="1:25" ht="15">
      <c r="A181" s="391"/>
      <c r="B181" s="361"/>
      <c r="C181" s="351"/>
      <c r="D181" s="362"/>
      <c r="E181" s="351"/>
      <c r="F181" s="363"/>
      <c r="G181" s="364"/>
      <c r="H181" s="351"/>
      <c r="I181" s="351">
        <v>179</v>
      </c>
      <c r="J181" s="352"/>
      <c r="K181" s="353"/>
      <c r="L181" s="353"/>
      <c r="M181" s="354"/>
      <c r="N181" s="354"/>
      <c r="O181" s="354"/>
      <c r="P181" s="354"/>
      <c r="Q181" s="354"/>
      <c r="R181" s="354"/>
      <c r="S181" s="354"/>
      <c r="T181" s="354"/>
      <c r="U181" s="365">
        <f>SUM(tblBacklog[[#This Row],[Funcional]:[PC QA]])</f>
        <v>0</v>
      </c>
      <c r="V181" s="354"/>
      <c r="W181" s="352"/>
      <c r="X181" s="355"/>
      <c r="Y181" s="354"/>
    </row>
    <row r="182" spans="1:25" ht="15">
      <c r="A182" s="364"/>
      <c r="B182" s="361"/>
      <c r="C182" s="351"/>
      <c r="D182" s="362"/>
      <c r="E182" s="351"/>
      <c r="F182" s="363"/>
      <c r="G182" s="364"/>
      <c r="H182" s="351"/>
      <c r="I182" s="351">
        <v>180</v>
      </c>
      <c r="J182" s="352"/>
      <c r="K182" s="353"/>
      <c r="L182" s="353"/>
      <c r="M182" s="354"/>
      <c r="N182" s="354"/>
      <c r="O182" s="354"/>
      <c r="P182" s="354"/>
      <c r="Q182" s="354"/>
      <c r="R182" s="354"/>
      <c r="S182" s="354"/>
      <c r="T182" s="354"/>
      <c r="U182" s="365">
        <f>SUM(tblBacklog[[#This Row],[Funcional]:[PC QA]])</f>
        <v>0</v>
      </c>
      <c r="V182" s="354"/>
      <c r="W182" s="352"/>
      <c r="X182" s="355"/>
      <c r="Y182" s="354"/>
    </row>
    <row r="183" spans="1:25" ht="15">
      <c r="A183" s="360"/>
      <c r="B183" s="361"/>
      <c r="C183" s="351"/>
      <c r="D183" s="362"/>
      <c r="E183" s="351"/>
      <c r="F183" s="363"/>
      <c r="G183" s="364"/>
      <c r="H183" s="351"/>
      <c r="I183" s="351">
        <v>181</v>
      </c>
      <c r="J183" s="352"/>
      <c r="K183" s="353"/>
      <c r="L183" s="353"/>
      <c r="M183" s="354"/>
      <c r="N183" s="354"/>
      <c r="O183" s="354"/>
      <c r="P183" s="354"/>
      <c r="Q183" s="354"/>
      <c r="R183" s="354"/>
      <c r="S183" s="354"/>
      <c r="T183" s="354"/>
      <c r="U183" s="365">
        <f>SUM(tblBacklog[[#This Row],[Funcional]:[PC QA]])</f>
        <v>0</v>
      </c>
      <c r="V183" s="354"/>
      <c r="W183" s="352"/>
      <c r="X183" s="355"/>
      <c r="Y183" s="354"/>
    </row>
  </sheetData>
  <mergeCells count="1">
    <mergeCell ref="A1:U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reateStructureBacklog">
                <anchor>
                  <from>
                    <xdr:col>2</xdr:col>
                    <xdr:colOff>19050</xdr:colOff>
                    <xdr:row>0</xdr:row>
                    <xdr:rowOff>85725</xdr:rowOff>
                  </from>
                  <to>
                    <xdr:col>2</xdr:col>
                    <xdr:colOff>2390775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RemoveTableBacklog">
                <anchor>
                  <from>
                    <xdr:col>4</xdr:col>
                    <xdr:colOff>3314700</xdr:colOff>
                    <xdr:row>0</xdr:row>
                    <xdr:rowOff>123825</xdr:rowOff>
                  </from>
                  <to>
                    <xdr:col>4</xdr:col>
                    <xdr:colOff>6019800</xdr:colOff>
                    <xdr:row>0</xdr:row>
                    <xdr:rowOff>419100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quad"/>
  <dimension ref="A1:I14"/>
  <sheetViews>
    <sheetView showGridLines="0" workbookViewId="0">
      <selection activeCell="E14" sqref="E14"/>
    </sheetView>
  </sheetViews>
  <sheetFormatPr defaultRowHeight="15"/>
  <cols>
    <col min="1" max="1" width="15" bestFit="1" customWidth="1"/>
    <col min="2" max="2" width="12.42578125" customWidth="1"/>
    <col min="3" max="3" width="27.28515625" bestFit="1" customWidth="1"/>
    <col min="4" max="4" width="24.85546875" style="3" bestFit="1" customWidth="1"/>
    <col min="5" max="5" width="14.7109375" style="1" customWidth="1"/>
    <col min="6" max="6" width="12.28515625" style="1" bestFit="1" customWidth="1"/>
    <col min="7" max="7" width="15.140625" bestFit="1" customWidth="1"/>
    <col min="8" max="9" width="10.28515625" customWidth="1"/>
    <col min="10" max="10" width="10.7109375" bestFit="1" customWidth="1"/>
    <col min="11" max="11" width="13.5703125" bestFit="1" customWidth="1"/>
  </cols>
  <sheetData>
    <row r="1" spans="1:9" ht="36" customHeight="1">
      <c r="A1" s="467"/>
      <c r="B1" s="467"/>
      <c r="C1" s="467"/>
      <c r="D1" s="467"/>
      <c r="E1" s="467"/>
      <c r="F1" s="467"/>
      <c r="G1" s="467"/>
    </row>
    <row r="2" spans="1:9">
      <c r="A2" s="132" t="s">
        <v>115</v>
      </c>
      <c r="B2" s="133" t="s">
        <v>9</v>
      </c>
      <c r="C2" s="133" t="s">
        <v>10</v>
      </c>
      <c r="D2" s="115" t="s">
        <v>98</v>
      </c>
      <c r="E2" s="116" t="s">
        <v>38</v>
      </c>
      <c r="F2" s="116" t="s">
        <v>44</v>
      </c>
      <c r="G2" s="117" t="s">
        <v>8</v>
      </c>
      <c r="I2" t="s">
        <v>0</v>
      </c>
    </row>
    <row r="3" spans="1:9">
      <c r="A3" t="s">
        <v>99</v>
      </c>
      <c r="B3" t="s">
        <v>27</v>
      </c>
      <c r="C3" t="s">
        <v>209</v>
      </c>
      <c r="D3" s="3">
        <v>1</v>
      </c>
      <c r="E3" s="1">
        <v>45686</v>
      </c>
      <c r="G3" s="130"/>
      <c r="I3" t="s">
        <v>20</v>
      </c>
    </row>
    <row r="4" spans="1:9">
      <c r="A4" t="s">
        <v>99</v>
      </c>
      <c r="B4" t="s">
        <v>210</v>
      </c>
      <c r="C4" t="s">
        <v>211</v>
      </c>
      <c r="D4" s="3">
        <v>1</v>
      </c>
      <c r="E4" s="1">
        <v>45686</v>
      </c>
      <c r="G4" s="130"/>
      <c r="I4" t="s">
        <v>12</v>
      </c>
    </row>
    <row r="5" spans="1:9">
      <c r="A5" t="s">
        <v>99</v>
      </c>
      <c r="B5" t="s">
        <v>210</v>
      </c>
      <c r="C5" t="s">
        <v>212</v>
      </c>
      <c r="D5" s="3">
        <v>1</v>
      </c>
      <c r="E5" s="1">
        <v>45686</v>
      </c>
      <c r="G5" s="392"/>
    </row>
    <row r="6" spans="1:9">
      <c r="A6" t="s">
        <v>99</v>
      </c>
      <c r="B6" t="s">
        <v>210</v>
      </c>
      <c r="C6" t="s">
        <v>213</v>
      </c>
      <c r="D6" s="3">
        <v>1</v>
      </c>
      <c r="E6" s="1">
        <v>45686</v>
      </c>
      <c r="G6" s="392"/>
    </row>
    <row r="7" spans="1:9">
      <c r="A7" t="s">
        <v>99</v>
      </c>
      <c r="B7" t="s">
        <v>214</v>
      </c>
      <c r="C7" t="s">
        <v>215</v>
      </c>
      <c r="D7" s="3">
        <v>1</v>
      </c>
      <c r="E7" s="1">
        <v>45686</v>
      </c>
      <c r="G7" s="393"/>
    </row>
    <row r="8" spans="1:9">
      <c r="A8" t="s">
        <v>99</v>
      </c>
      <c r="B8" t="s">
        <v>214</v>
      </c>
      <c r="C8" t="s">
        <v>216</v>
      </c>
      <c r="D8" s="3">
        <v>1</v>
      </c>
      <c r="E8" s="1">
        <v>45686</v>
      </c>
      <c r="G8" s="393"/>
    </row>
    <row r="9" spans="1:9">
      <c r="A9" t="s">
        <v>99</v>
      </c>
      <c r="B9" t="s">
        <v>214</v>
      </c>
      <c r="C9" t="s">
        <v>217</v>
      </c>
      <c r="D9" s="3">
        <v>1</v>
      </c>
      <c r="E9" s="1">
        <v>45686</v>
      </c>
      <c r="G9" s="393"/>
    </row>
    <row r="10" spans="1:9">
      <c r="A10" t="s">
        <v>99</v>
      </c>
      <c r="B10" t="s">
        <v>214</v>
      </c>
      <c r="C10" t="s">
        <v>116</v>
      </c>
      <c r="D10" s="3">
        <v>1</v>
      </c>
      <c r="E10" s="1">
        <v>45686</v>
      </c>
      <c r="G10" s="393"/>
    </row>
    <row r="11" spans="1:9">
      <c r="A11" t="s">
        <v>99</v>
      </c>
      <c r="B11" t="s">
        <v>214</v>
      </c>
      <c r="C11" t="s">
        <v>218</v>
      </c>
      <c r="D11" s="3">
        <v>1</v>
      </c>
      <c r="E11" s="1">
        <v>45686</v>
      </c>
      <c r="G11" s="393"/>
    </row>
    <row r="12" spans="1:9">
      <c r="A12" t="s">
        <v>99</v>
      </c>
      <c r="B12" t="s">
        <v>214</v>
      </c>
      <c r="C12" t="s">
        <v>219</v>
      </c>
      <c r="D12" s="3">
        <v>1</v>
      </c>
      <c r="E12" s="1">
        <v>45686</v>
      </c>
      <c r="G12" s="393"/>
    </row>
    <row r="13" spans="1:9">
      <c r="A13" t="s">
        <v>99</v>
      </c>
      <c r="B13" t="s">
        <v>214</v>
      </c>
      <c r="C13" t="s">
        <v>220</v>
      </c>
      <c r="D13" s="3">
        <v>1</v>
      </c>
      <c r="E13" s="1">
        <v>45694</v>
      </c>
      <c r="G13" s="393"/>
    </row>
    <row r="14" spans="1:9">
      <c r="A14" t="s">
        <v>99</v>
      </c>
      <c r="B14" t="s">
        <v>214</v>
      </c>
      <c r="C14" t="s">
        <v>221</v>
      </c>
      <c r="D14" s="3">
        <v>1</v>
      </c>
      <c r="E14" s="1">
        <v>45686</v>
      </c>
      <c r="G14" s="393"/>
    </row>
  </sheetData>
  <mergeCells count="1">
    <mergeCell ref="A1:G1"/>
  </mergeCells>
  <dataValidations disablePrompts="1" count="1">
    <dataValidation type="list" allowBlank="1" showInputMessage="1" showErrorMessage="1" sqref="F3:F4 F6:F14">
      <formula1>$I$3:$I$4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PreviewPlanning"/>
  <dimension ref="A1:N415"/>
  <sheetViews>
    <sheetView showGridLines="0" workbookViewId="0">
      <selection activeCell="B13" sqref="B13"/>
    </sheetView>
  </sheetViews>
  <sheetFormatPr defaultRowHeight="15"/>
  <cols>
    <col min="1" max="1" width="10" bestFit="1" customWidth="1"/>
    <col min="2" max="2" width="15.85546875" bestFit="1" customWidth="1"/>
    <col min="3" max="3" width="7.7109375" bestFit="1" customWidth="1"/>
    <col min="4" max="4" width="9.5703125" bestFit="1" customWidth="1"/>
    <col min="5" max="5" width="13.7109375" bestFit="1" customWidth="1"/>
    <col min="6" max="6" width="13.7109375" customWidth="1"/>
    <col min="7" max="7" width="13.140625" customWidth="1"/>
    <col min="8" max="8" width="23.7109375" bestFit="1" customWidth="1"/>
    <col min="9" max="10" width="12.28515625" bestFit="1" customWidth="1"/>
  </cols>
  <sheetData>
    <row r="1" spans="1:14" ht="39" customHeight="1">
      <c r="A1" s="468"/>
      <c r="B1" s="468"/>
      <c r="C1" s="468"/>
      <c r="D1" s="468"/>
      <c r="E1" s="468"/>
      <c r="F1" s="468"/>
      <c r="G1" s="468"/>
      <c r="H1" s="33"/>
    </row>
    <row r="2" spans="1:14" ht="15.75" thickBot="1">
      <c r="A2" s="32" t="s">
        <v>29</v>
      </c>
      <c r="B2" s="32" t="s">
        <v>35</v>
      </c>
      <c r="C2" s="32" t="s">
        <v>11</v>
      </c>
      <c r="D2" s="32" t="s">
        <v>9</v>
      </c>
      <c r="E2" s="32" t="s">
        <v>24</v>
      </c>
      <c r="F2" s="32" t="s">
        <v>10</v>
      </c>
      <c r="G2" s="34" t="s">
        <v>15</v>
      </c>
      <c r="H2" s="35" t="s">
        <v>41</v>
      </c>
      <c r="I2" s="36" t="s">
        <v>42</v>
      </c>
      <c r="J2" s="32" t="s">
        <v>44</v>
      </c>
    </row>
    <row r="3" spans="1:14" ht="15.75" thickTop="1">
      <c r="A3" s="135" t="s">
        <v>139</v>
      </c>
      <c r="B3" s="158" t="s">
        <v>25</v>
      </c>
      <c r="C3" s="309" t="s">
        <v>99</v>
      </c>
      <c r="D3" s="309" t="s">
        <v>27</v>
      </c>
      <c r="E3" s="309" t="s">
        <v>27</v>
      </c>
      <c r="F3" s="309" t="s">
        <v>209</v>
      </c>
      <c r="G3" s="608">
        <v>45686</v>
      </c>
      <c r="H3" s="159">
        <v>1</v>
      </c>
      <c r="I3" s="160"/>
      <c r="J3" s="161"/>
      <c r="M3" s="1"/>
      <c r="N3" s="1"/>
    </row>
    <row r="4" spans="1:14">
      <c r="A4" s="136" t="s">
        <v>144</v>
      </c>
      <c r="B4" s="158" t="s">
        <v>25</v>
      </c>
      <c r="C4" s="309" t="s">
        <v>99</v>
      </c>
      <c r="D4" s="309" t="s">
        <v>27</v>
      </c>
      <c r="E4" s="309" t="s">
        <v>27</v>
      </c>
      <c r="F4" s="309" t="s">
        <v>209</v>
      </c>
      <c r="G4" s="608">
        <v>45687</v>
      </c>
      <c r="H4" s="159">
        <v>1</v>
      </c>
      <c r="I4" s="160"/>
      <c r="J4" s="161"/>
    </row>
    <row r="5" spans="1:14">
      <c r="A5" s="137" t="s">
        <v>147</v>
      </c>
      <c r="B5" s="158" t="s">
        <v>25</v>
      </c>
      <c r="C5" s="309" t="s">
        <v>99</v>
      </c>
      <c r="D5" s="309" t="s">
        <v>27</v>
      </c>
      <c r="E5" s="309" t="s">
        <v>27</v>
      </c>
      <c r="F5" s="309" t="s">
        <v>209</v>
      </c>
      <c r="G5" s="608">
        <v>45688</v>
      </c>
      <c r="H5" s="159">
        <v>1</v>
      </c>
      <c r="I5" s="160"/>
      <c r="J5" s="161"/>
    </row>
    <row r="6" spans="1:14">
      <c r="A6" s="134" t="s">
        <v>149</v>
      </c>
      <c r="B6" s="158" t="s">
        <v>25</v>
      </c>
      <c r="C6" s="309" t="s">
        <v>99</v>
      </c>
      <c r="D6" s="309" t="s">
        <v>27</v>
      </c>
      <c r="E6" s="309" t="s">
        <v>27</v>
      </c>
      <c r="F6" s="309" t="s">
        <v>209</v>
      </c>
      <c r="G6" s="608">
        <v>45691</v>
      </c>
      <c r="H6" s="159">
        <v>1</v>
      </c>
      <c r="I6" s="160"/>
      <c r="J6" s="161"/>
    </row>
    <row r="7" spans="1:14">
      <c r="A7" s="138" t="s">
        <v>152</v>
      </c>
      <c r="B7" s="158" t="s">
        <v>25</v>
      </c>
      <c r="C7" s="309" t="s">
        <v>99</v>
      </c>
      <c r="D7" s="309" t="s">
        <v>27</v>
      </c>
      <c r="E7" s="309" t="s">
        <v>27</v>
      </c>
      <c r="F7" s="309" t="s">
        <v>209</v>
      </c>
      <c r="G7" s="608">
        <v>45692</v>
      </c>
      <c r="H7" s="159">
        <v>1</v>
      </c>
      <c r="I7" s="160"/>
      <c r="J7" s="161"/>
    </row>
    <row r="8" spans="1:14">
      <c r="A8" s="118" t="s">
        <v>154</v>
      </c>
      <c r="B8" s="158" t="s">
        <v>25</v>
      </c>
      <c r="C8" s="309" t="s">
        <v>99</v>
      </c>
      <c r="D8" s="309" t="s">
        <v>27</v>
      </c>
      <c r="E8" s="309" t="s">
        <v>27</v>
      </c>
      <c r="F8" s="309" t="s">
        <v>209</v>
      </c>
      <c r="G8" s="608">
        <v>45693</v>
      </c>
      <c r="H8" s="159">
        <v>1</v>
      </c>
      <c r="I8" s="160"/>
      <c r="J8" s="161"/>
    </row>
    <row r="9" spans="1:14">
      <c r="A9" s="409" t="s">
        <v>157</v>
      </c>
      <c r="B9" s="158" t="s">
        <v>25</v>
      </c>
      <c r="C9" s="309" t="s">
        <v>99</v>
      </c>
      <c r="D9" s="309" t="s">
        <v>27</v>
      </c>
      <c r="E9" s="309" t="s">
        <v>27</v>
      </c>
      <c r="F9" s="309" t="s">
        <v>209</v>
      </c>
      <c r="G9" s="608">
        <v>45694</v>
      </c>
      <c r="H9" s="159">
        <v>1</v>
      </c>
      <c r="I9" s="160"/>
      <c r="J9" s="161"/>
    </row>
    <row r="10" spans="1:14">
      <c r="A10" s="410" t="s">
        <v>159</v>
      </c>
      <c r="B10" s="158" t="s">
        <v>25</v>
      </c>
      <c r="C10" s="309" t="s">
        <v>99</v>
      </c>
      <c r="D10" s="309" t="s">
        <v>27</v>
      </c>
      <c r="E10" s="309" t="s">
        <v>27</v>
      </c>
      <c r="F10" s="309" t="s">
        <v>209</v>
      </c>
      <c r="G10" s="608">
        <v>45695</v>
      </c>
      <c r="H10" s="159">
        <v>1</v>
      </c>
      <c r="I10" s="160"/>
      <c r="J10" s="161"/>
    </row>
    <row r="11" spans="1:14">
      <c r="A11" s="411" t="s">
        <v>162</v>
      </c>
      <c r="B11" s="158" t="s">
        <v>25</v>
      </c>
      <c r="C11" s="309" t="s">
        <v>99</v>
      </c>
      <c r="D11" s="309" t="s">
        <v>27</v>
      </c>
      <c r="E11" s="309" t="s">
        <v>27</v>
      </c>
      <c r="F11" s="309" t="s">
        <v>209</v>
      </c>
      <c r="G11" s="608">
        <v>45698</v>
      </c>
      <c r="H11" s="159">
        <v>1</v>
      </c>
      <c r="I11" s="160"/>
      <c r="J11" s="161"/>
    </row>
    <row r="12" spans="1:14">
      <c r="A12" s="412" t="s">
        <v>164</v>
      </c>
      <c r="B12" s="158" t="s">
        <v>25</v>
      </c>
      <c r="C12" s="309" t="s">
        <v>99</v>
      </c>
      <c r="D12" s="309" t="s">
        <v>27</v>
      </c>
      <c r="E12" s="309" t="s">
        <v>27</v>
      </c>
      <c r="F12" s="309" t="s">
        <v>209</v>
      </c>
      <c r="G12" s="608">
        <v>45699</v>
      </c>
      <c r="H12" s="159">
        <v>1</v>
      </c>
      <c r="I12" s="160"/>
      <c r="J12" s="161"/>
    </row>
    <row r="13" spans="1:14">
      <c r="A13" s="413" t="s">
        <v>167</v>
      </c>
      <c r="B13" s="158" t="s">
        <v>25</v>
      </c>
      <c r="C13" s="309" t="s">
        <v>99</v>
      </c>
      <c r="D13" s="309" t="s">
        <v>27</v>
      </c>
      <c r="E13" s="309" t="s">
        <v>27</v>
      </c>
      <c r="F13" s="309" t="s">
        <v>209</v>
      </c>
      <c r="G13" s="608">
        <v>45700</v>
      </c>
      <c r="H13" s="159">
        <v>1</v>
      </c>
      <c r="I13" s="160"/>
      <c r="J13" s="161"/>
    </row>
    <row r="14" spans="1:14">
      <c r="A14" s="414" t="s">
        <v>169</v>
      </c>
      <c r="B14" s="158" t="s">
        <v>25</v>
      </c>
      <c r="C14" s="309" t="s">
        <v>99</v>
      </c>
      <c r="D14" s="309" t="s">
        <v>27</v>
      </c>
      <c r="E14" s="309" t="s">
        <v>27</v>
      </c>
      <c r="F14" s="309" t="s">
        <v>209</v>
      </c>
      <c r="G14" s="608">
        <v>45701</v>
      </c>
      <c r="H14" s="159">
        <v>1</v>
      </c>
      <c r="I14" s="160"/>
      <c r="J14" s="161"/>
    </row>
    <row r="15" spans="1:14">
      <c r="A15" s="415" t="s">
        <v>171</v>
      </c>
      <c r="B15" s="158" t="s">
        <v>25</v>
      </c>
      <c r="C15" s="309" t="s">
        <v>99</v>
      </c>
      <c r="D15" s="309" t="s">
        <v>27</v>
      </c>
      <c r="E15" s="309" t="s">
        <v>27</v>
      </c>
      <c r="F15" s="309" t="s">
        <v>209</v>
      </c>
      <c r="G15" s="608">
        <v>45702</v>
      </c>
      <c r="H15" s="159">
        <v>1</v>
      </c>
      <c r="I15" s="160"/>
      <c r="J15" s="161"/>
    </row>
    <row r="16" spans="1:14">
      <c r="A16" s="416" t="s">
        <v>173</v>
      </c>
      <c r="B16" s="158" t="s">
        <v>25</v>
      </c>
      <c r="C16" s="309" t="s">
        <v>99</v>
      </c>
      <c r="D16" s="309" t="s">
        <v>27</v>
      </c>
      <c r="E16" s="309" t="s">
        <v>27</v>
      </c>
      <c r="F16" s="309" t="s">
        <v>209</v>
      </c>
      <c r="G16" s="608">
        <v>45705</v>
      </c>
      <c r="H16" s="159">
        <v>1</v>
      </c>
      <c r="I16" s="160"/>
      <c r="J16" s="161"/>
    </row>
    <row r="17" spans="1:10">
      <c r="A17" s="417" t="s">
        <v>175</v>
      </c>
      <c r="B17" s="158" t="s">
        <v>25</v>
      </c>
      <c r="C17" s="309" t="s">
        <v>99</v>
      </c>
      <c r="D17" s="309" t="s">
        <v>27</v>
      </c>
      <c r="E17" s="309" t="s">
        <v>27</v>
      </c>
      <c r="F17" s="309" t="s">
        <v>209</v>
      </c>
      <c r="G17" s="608">
        <v>45706</v>
      </c>
      <c r="H17" s="159">
        <v>1</v>
      </c>
      <c r="I17" s="160"/>
      <c r="J17" s="161"/>
    </row>
    <row r="18" spans="1:10">
      <c r="A18" s="418" t="s">
        <v>177</v>
      </c>
      <c r="B18" s="158" t="s">
        <v>25</v>
      </c>
      <c r="C18" s="309" t="s">
        <v>99</v>
      </c>
      <c r="D18" s="309" t="s">
        <v>27</v>
      </c>
      <c r="E18" s="309" t="s">
        <v>27</v>
      </c>
      <c r="F18" s="309" t="s">
        <v>209</v>
      </c>
      <c r="G18" s="608">
        <v>45707</v>
      </c>
      <c r="H18" s="159">
        <v>1</v>
      </c>
      <c r="I18" s="160"/>
      <c r="J18" s="161"/>
    </row>
    <row r="19" spans="1:10">
      <c r="A19" s="419" t="s">
        <v>179</v>
      </c>
      <c r="B19" s="158" t="s">
        <v>25</v>
      </c>
      <c r="C19" s="309" t="s">
        <v>99</v>
      </c>
      <c r="D19" s="309" t="s">
        <v>27</v>
      </c>
      <c r="E19" s="309" t="s">
        <v>27</v>
      </c>
      <c r="F19" s="309" t="s">
        <v>209</v>
      </c>
      <c r="G19" s="608">
        <v>45708</v>
      </c>
      <c r="H19" s="159">
        <v>1</v>
      </c>
      <c r="I19" s="160"/>
      <c r="J19" s="161"/>
    </row>
    <row r="20" spans="1:10">
      <c r="A20" s="420" t="s">
        <v>181</v>
      </c>
      <c r="B20" s="158" t="s">
        <v>25</v>
      </c>
      <c r="C20" s="309" t="s">
        <v>99</v>
      </c>
      <c r="D20" s="309" t="s">
        <v>27</v>
      </c>
      <c r="E20" s="309" t="s">
        <v>27</v>
      </c>
      <c r="F20" s="309" t="s">
        <v>209</v>
      </c>
      <c r="G20" s="608">
        <v>45709</v>
      </c>
      <c r="H20" s="159">
        <v>1</v>
      </c>
      <c r="I20" s="160"/>
      <c r="J20" s="161"/>
    </row>
    <row r="21" spans="1:10">
      <c r="A21" s="421" t="s">
        <v>183</v>
      </c>
      <c r="B21" s="158" t="s">
        <v>25</v>
      </c>
      <c r="C21" s="309" t="s">
        <v>99</v>
      </c>
      <c r="D21" s="309" t="s">
        <v>27</v>
      </c>
      <c r="E21" s="309" t="s">
        <v>27</v>
      </c>
      <c r="F21" s="309" t="s">
        <v>209</v>
      </c>
      <c r="G21" s="608">
        <v>45712</v>
      </c>
      <c r="H21" s="159">
        <v>1</v>
      </c>
      <c r="I21" s="160"/>
      <c r="J21" s="161"/>
    </row>
    <row r="22" spans="1:10">
      <c r="A22" s="422" t="s">
        <v>185</v>
      </c>
      <c r="B22" s="158" t="s">
        <v>25</v>
      </c>
      <c r="C22" s="309" t="s">
        <v>99</v>
      </c>
      <c r="D22" s="309" t="s">
        <v>27</v>
      </c>
      <c r="E22" s="309" t="s">
        <v>27</v>
      </c>
      <c r="F22" s="309" t="s">
        <v>209</v>
      </c>
      <c r="G22" s="608">
        <v>45713</v>
      </c>
      <c r="H22" s="159">
        <v>1</v>
      </c>
      <c r="I22" s="160"/>
      <c r="J22" s="161"/>
    </row>
    <row r="23" spans="1:10">
      <c r="A23" s="118" t="s">
        <v>187</v>
      </c>
      <c r="B23" s="158" t="s">
        <v>25</v>
      </c>
      <c r="C23" s="309" t="s">
        <v>99</v>
      </c>
      <c r="D23" s="309" t="s">
        <v>27</v>
      </c>
      <c r="E23" s="309" t="s">
        <v>27</v>
      </c>
      <c r="F23" s="309" t="s">
        <v>209</v>
      </c>
      <c r="G23" s="608">
        <v>45714</v>
      </c>
      <c r="H23" s="159">
        <v>1</v>
      </c>
      <c r="I23" s="160"/>
      <c r="J23" s="161"/>
    </row>
    <row r="24" spans="1:10">
      <c r="A24" s="423" t="s">
        <v>189</v>
      </c>
      <c r="B24" s="158" t="s">
        <v>25</v>
      </c>
      <c r="C24" s="309" t="s">
        <v>99</v>
      </c>
      <c r="D24" s="309" t="s">
        <v>27</v>
      </c>
      <c r="E24" s="309" t="s">
        <v>27</v>
      </c>
      <c r="F24" s="309" t="s">
        <v>209</v>
      </c>
      <c r="G24" s="608">
        <v>45715</v>
      </c>
      <c r="H24" s="159">
        <v>1</v>
      </c>
      <c r="I24" s="160"/>
      <c r="J24" s="161"/>
    </row>
    <row r="25" spans="1:10">
      <c r="A25" s="424" t="s">
        <v>192</v>
      </c>
      <c r="B25" s="158" t="s">
        <v>25</v>
      </c>
      <c r="C25" s="309" t="s">
        <v>99</v>
      </c>
      <c r="D25" s="309" t="s">
        <v>27</v>
      </c>
      <c r="E25" s="309" t="s">
        <v>27</v>
      </c>
      <c r="F25" s="309" t="s">
        <v>209</v>
      </c>
      <c r="G25" s="608">
        <v>45716</v>
      </c>
      <c r="H25" s="159">
        <v>1</v>
      </c>
      <c r="I25" s="160"/>
      <c r="J25" s="161"/>
    </row>
    <row r="26" spans="1:10">
      <c r="A26" s="425" t="s">
        <v>195</v>
      </c>
      <c r="B26" s="158" t="s">
        <v>25</v>
      </c>
      <c r="C26" s="309" t="s">
        <v>99</v>
      </c>
      <c r="D26" s="309" t="s">
        <v>27</v>
      </c>
      <c r="E26" s="309" t="s">
        <v>27</v>
      </c>
      <c r="F26" s="309" t="s">
        <v>209</v>
      </c>
      <c r="G26" s="608">
        <v>45721</v>
      </c>
      <c r="H26" s="159">
        <v>1</v>
      </c>
      <c r="I26" s="160"/>
      <c r="J26" s="161"/>
    </row>
    <row r="27" spans="1:10">
      <c r="A27" s="134" t="s">
        <v>197</v>
      </c>
      <c r="B27" s="158" t="s">
        <v>25</v>
      </c>
      <c r="C27" s="309" t="s">
        <v>99</v>
      </c>
      <c r="D27" s="309" t="s">
        <v>27</v>
      </c>
      <c r="E27" s="309" t="s">
        <v>27</v>
      </c>
      <c r="F27" s="309" t="s">
        <v>209</v>
      </c>
      <c r="G27" s="608">
        <v>45722</v>
      </c>
      <c r="H27" s="159">
        <v>1</v>
      </c>
      <c r="I27" s="160"/>
      <c r="J27" s="161"/>
    </row>
    <row r="28" spans="1:10">
      <c r="A28" s="426" t="s">
        <v>199</v>
      </c>
      <c r="B28" s="158" t="s">
        <v>25</v>
      </c>
      <c r="C28" s="309" t="s">
        <v>99</v>
      </c>
      <c r="D28" s="309" t="s">
        <v>27</v>
      </c>
      <c r="E28" s="309" t="s">
        <v>27</v>
      </c>
      <c r="F28" s="309" t="s">
        <v>209</v>
      </c>
      <c r="G28" s="608">
        <v>45723</v>
      </c>
      <c r="H28" s="159">
        <v>1</v>
      </c>
      <c r="I28" s="160"/>
      <c r="J28" s="161"/>
    </row>
    <row r="29" spans="1:10">
      <c r="A29" s="427" t="s">
        <v>201</v>
      </c>
      <c r="B29" s="158" t="s">
        <v>25</v>
      </c>
      <c r="C29" s="309" t="s">
        <v>99</v>
      </c>
      <c r="D29" s="309" t="s">
        <v>27</v>
      </c>
      <c r="E29" s="309" t="s">
        <v>27</v>
      </c>
      <c r="F29" s="309" t="s">
        <v>209</v>
      </c>
      <c r="G29" s="608">
        <v>45726</v>
      </c>
      <c r="H29" s="159">
        <v>1</v>
      </c>
      <c r="I29" s="160"/>
      <c r="J29" s="161"/>
    </row>
    <row r="30" spans="1:10">
      <c r="A30" s="428" t="s">
        <v>203</v>
      </c>
      <c r="B30" s="158" t="s">
        <v>25</v>
      </c>
      <c r="C30" s="309" t="s">
        <v>99</v>
      </c>
      <c r="D30" s="309" t="s">
        <v>27</v>
      </c>
      <c r="E30" s="309" t="s">
        <v>27</v>
      </c>
      <c r="F30" s="309" t="s">
        <v>209</v>
      </c>
      <c r="G30" s="608">
        <v>45727</v>
      </c>
      <c r="H30" s="159">
        <v>1</v>
      </c>
      <c r="I30" s="160"/>
      <c r="J30" s="161"/>
    </row>
    <row r="31" spans="1:10">
      <c r="A31" s="429" t="s">
        <v>205</v>
      </c>
      <c r="B31" s="158" t="s">
        <v>25</v>
      </c>
      <c r="C31" s="309" t="s">
        <v>99</v>
      </c>
      <c r="D31" s="309" t="s">
        <v>27</v>
      </c>
      <c r="E31" s="309" t="s">
        <v>27</v>
      </c>
      <c r="F31" s="309" t="s">
        <v>209</v>
      </c>
      <c r="G31" s="608">
        <v>45728</v>
      </c>
      <c r="H31" s="159">
        <v>1</v>
      </c>
      <c r="I31" s="160"/>
      <c r="J31" s="161"/>
    </row>
    <row r="32" spans="1:10">
      <c r="A32" s="430" t="s">
        <v>207</v>
      </c>
      <c r="B32" s="158" t="s">
        <v>25</v>
      </c>
      <c r="C32" s="309" t="s">
        <v>99</v>
      </c>
      <c r="D32" s="309" t="s">
        <v>27</v>
      </c>
      <c r="E32" s="309" t="s">
        <v>27</v>
      </c>
      <c r="F32" s="309" t="s">
        <v>209</v>
      </c>
      <c r="G32" s="608">
        <v>45729</v>
      </c>
      <c r="H32" s="159">
        <v>1</v>
      </c>
      <c r="I32" s="160"/>
      <c r="J32" s="161"/>
    </row>
    <row r="33" spans="1:10">
      <c r="A33" s="135" t="s">
        <v>139</v>
      </c>
      <c r="B33" s="158" t="s">
        <v>25</v>
      </c>
      <c r="C33" s="309" t="s">
        <v>99</v>
      </c>
      <c r="D33" s="309" t="s">
        <v>27</v>
      </c>
      <c r="E33" s="309" t="s">
        <v>27</v>
      </c>
      <c r="F33" s="309" t="s">
        <v>209</v>
      </c>
      <c r="G33" s="608">
        <v>45686</v>
      </c>
      <c r="H33" s="159">
        <v>1</v>
      </c>
      <c r="I33" s="160"/>
      <c r="J33" s="161"/>
    </row>
    <row r="34" spans="1:10">
      <c r="A34" s="136" t="s">
        <v>144</v>
      </c>
      <c r="B34" s="158" t="s">
        <v>25</v>
      </c>
      <c r="C34" s="309" t="s">
        <v>99</v>
      </c>
      <c r="D34" s="309" t="s">
        <v>27</v>
      </c>
      <c r="E34" s="309" t="s">
        <v>27</v>
      </c>
      <c r="F34" s="309" t="s">
        <v>209</v>
      </c>
      <c r="G34" s="608">
        <v>45687</v>
      </c>
      <c r="H34" s="159">
        <v>1</v>
      </c>
      <c r="I34" s="160"/>
      <c r="J34" s="161"/>
    </row>
    <row r="35" spans="1:10">
      <c r="A35" s="137" t="s">
        <v>147</v>
      </c>
      <c r="B35" s="158" t="s">
        <v>25</v>
      </c>
      <c r="C35" s="309" t="s">
        <v>99</v>
      </c>
      <c r="D35" s="309" t="s">
        <v>27</v>
      </c>
      <c r="E35" s="309" t="s">
        <v>27</v>
      </c>
      <c r="F35" s="309" t="s">
        <v>209</v>
      </c>
      <c r="G35" s="608">
        <v>45688</v>
      </c>
      <c r="H35" s="159">
        <v>1</v>
      </c>
      <c r="I35" s="160"/>
      <c r="J35" s="161"/>
    </row>
    <row r="36" spans="1:10">
      <c r="A36" s="134" t="s">
        <v>149</v>
      </c>
      <c r="B36" s="158" t="s">
        <v>25</v>
      </c>
      <c r="C36" s="309" t="s">
        <v>99</v>
      </c>
      <c r="D36" s="309" t="s">
        <v>27</v>
      </c>
      <c r="E36" s="309" t="s">
        <v>27</v>
      </c>
      <c r="F36" s="309" t="s">
        <v>209</v>
      </c>
      <c r="G36" s="608">
        <v>45691</v>
      </c>
      <c r="H36" s="159">
        <v>1</v>
      </c>
      <c r="I36" s="160"/>
      <c r="J36" s="161"/>
    </row>
    <row r="37" spans="1:10">
      <c r="A37" s="138" t="s">
        <v>152</v>
      </c>
      <c r="B37" s="158" t="s">
        <v>25</v>
      </c>
      <c r="C37" s="309" t="s">
        <v>99</v>
      </c>
      <c r="D37" s="309" t="s">
        <v>27</v>
      </c>
      <c r="E37" s="309" t="s">
        <v>27</v>
      </c>
      <c r="F37" s="309" t="s">
        <v>209</v>
      </c>
      <c r="G37" s="608">
        <v>45692</v>
      </c>
      <c r="H37" s="159">
        <v>1</v>
      </c>
      <c r="I37" s="160"/>
      <c r="J37" s="161"/>
    </row>
    <row r="38" spans="1:10">
      <c r="A38" s="118" t="s">
        <v>154</v>
      </c>
      <c r="B38" s="158" t="s">
        <v>25</v>
      </c>
      <c r="C38" s="309" t="s">
        <v>99</v>
      </c>
      <c r="D38" s="309" t="s">
        <v>27</v>
      </c>
      <c r="E38" s="309" t="s">
        <v>27</v>
      </c>
      <c r="F38" s="309" t="s">
        <v>209</v>
      </c>
      <c r="G38" s="608">
        <v>45693</v>
      </c>
      <c r="H38" s="159">
        <v>1</v>
      </c>
      <c r="I38" s="160"/>
      <c r="J38" s="161"/>
    </row>
    <row r="39" spans="1:10">
      <c r="A39" s="409" t="s">
        <v>157</v>
      </c>
      <c r="B39" s="158" t="s">
        <v>25</v>
      </c>
      <c r="C39" s="309" t="s">
        <v>99</v>
      </c>
      <c r="D39" s="309" t="s">
        <v>27</v>
      </c>
      <c r="E39" s="309" t="s">
        <v>27</v>
      </c>
      <c r="F39" s="309" t="s">
        <v>209</v>
      </c>
      <c r="G39" s="608">
        <v>45694</v>
      </c>
      <c r="H39" s="159">
        <v>1</v>
      </c>
      <c r="I39" s="160"/>
      <c r="J39" s="161"/>
    </row>
    <row r="40" spans="1:10">
      <c r="A40" s="410" t="s">
        <v>159</v>
      </c>
      <c r="B40" s="158" t="s">
        <v>25</v>
      </c>
      <c r="C40" s="309" t="s">
        <v>99</v>
      </c>
      <c r="D40" s="309" t="s">
        <v>27</v>
      </c>
      <c r="E40" s="309" t="s">
        <v>27</v>
      </c>
      <c r="F40" s="309" t="s">
        <v>209</v>
      </c>
      <c r="G40" s="608">
        <v>45695</v>
      </c>
      <c r="H40" s="159">
        <v>1</v>
      </c>
      <c r="I40" s="160"/>
      <c r="J40" s="161"/>
    </row>
    <row r="41" spans="1:10">
      <c r="A41" s="411" t="s">
        <v>162</v>
      </c>
      <c r="B41" s="158" t="s">
        <v>25</v>
      </c>
      <c r="C41" s="309" t="s">
        <v>99</v>
      </c>
      <c r="D41" s="309" t="s">
        <v>27</v>
      </c>
      <c r="E41" s="309" t="s">
        <v>27</v>
      </c>
      <c r="F41" s="309" t="s">
        <v>209</v>
      </c>
      <c r="G41" s="608">
        <v>45698</v>
      </c>
      <c r="H41" s="159">
        <v>1</v>
      </c>
      <c r="I41" s="160"/>
      <c r="J41" s="161"/>
    </row>
    <row r="42" spans="1:10">
      <c r="A42" s="412" t="s">
        <v>164</v>
      </c>
      <c r="B42" s="158" t="s">
        <v>25</v>
      </c>
      <c r="C42" s="309" t="s">
        <v>99</v>
      </c>
      <c r="D42" s="309" t="s">
        <v>27</v>
      </c>
      <c r="E42" s="309" t="s">
        <v>27</v>
      </c>
      <c r="F42" s="309" t="s">
        <v>209</v>
      </c>
      <c r="G42" s="608">
        <v>45699</v>
      </c>
      <c r="H42" s="159">
        <v>1</v>
      </c>
      <c r="I42" s="160"/>
      <c r="J42" s="161"/>
    </row>
    <row r="43" spans="1:10">
      <c r="A43" s="413" t="s">
        <v>167</v>
      </c>
      <c r="B43" s="158" t="s">
        <v>25</v>
      </c>
      <c r="C43" s="309" t="s">
        <v>99</v>
      </c>
      <c r="D43" s="309" t="s">
        <v>27</v>
      </c>
      <c r="E43" s="309" t="s">
        <v>27</v>
      </c>
      <c r="F43" s="309" t="s">
        <v>209</v>
      </c>
      <c r="G43" s="608">
        <v>45700</v>
      </c>
      <c r="H43" s="159">
        <v>1</v>
      </c>
      <c r="I43" s="160"/>
      <c r="J43" s="161"/>
    </row>
    <row r="44" spans="1:10">
      <c r="A44" s="414" t="s">
        <v>169</v>
      </c>
      <c r="B44" s="158" t="s">
        <v>25</v>
      </c>
      <c r="C44" s="309" t="s">
        <v>99</v>
      </c>
      <c r="D44" s="309" t="s">
        <v>27</v>
      </c>
      <c r="E44" s="309" t="s">
        <v>27</v>
      </c>
      <c r="F44" s="309" t="s">
        <v>209</v>
      </c>
      <c r="G44" s="608">
        <v>45701</v>
      </c>
      <c r="H44" s="159">
        <v>1</v>
      </c>
      <c r="I44" s="160"/>
      <c r="J44" s="161"/>
    </row>
    <row r="45" spans="1:10">
      <c r="A45" s="415" t="s">
        <v>171</v>
      </c>
      <c r="B45" s="158" t="s">
        <v>25</v>
      </c>
      <c r="C45" s="309" t="s">
        <v>99</v>
      </c>
      <c r="D45" s="309" t="s">
        <v>27</v>
      </c>
      <c r="E45" s="309" t="s">
        <v>27</v>
      </c>
      <c r="F45" s="309" t="s">
        <v>209</v>
      </c>
      <c r="G45" s="608">
        <v>45702</v>
      </c>
      <c r="H45" s="159">
        <v>1</v>
      </c>
      <c r="I45" s="160"/>
      <c r="J45" s="161"/>
    </row>
    <row r="46" spans="1:10">
      <c r="A46" s="416" t="s">
        <v>173</v>
      </c>
      <c r="B46" s="158" t="s">
        <v>25</v>
      </c>
      <c r="C46" s="309" t="s">
        <v>99</v>
      </c>
      <c r="D46" s="309" t="s">
        <v>27</v>
      </c>
      <c r="E46" s="309" t="s">
        <v>27</v>
      </c>
      <c r="F46" s="309" t="s">
        <v>209</v>
      </c>
      <c r="G46" s="608">
        <v>45705</v>
      </c>
      <c r="H46" s="159">
        <v>1</v>
      </c>
      <c r="I46" s="160"/>
      <c r="J46" s="161"/>
    </row>
    <row r="47" spans="1:10">
      <c r="A47" s="417" t="s">
        <v>175</v>
      </c>
      <c r="B47" s="158" t="s">
        <v>25</v>
      </c>
      <c r="C47" s="309" t="s">
        <v>99</v>
      </c>
      <c r="D47" s="309" t="s">
        <v>27</v>
      </c>
      <c r="E47" s="309" t="s">
        <v>27</v>
      </c>
      <c r="F47" s="309" t="s">
        <v>209</v>
      </c>
      <c r="G47" s="608">
        <v>45706</v>
      </c>
      <c r="H47" s="159">
        <v>1</v>
      </c>
      <c r="I47" s="160"/>
      <c r="J47" s="161"/>
    </row>
    <row r="48" spans="1:10">
      <c r="A48" s="418" t="s">
        <v>177</v>
      </c>
      <c r="B48" s="158" t="s">
        <v>25</v>
      </c>
      <c r="C48" s="309" t="s">
        <v>99</v>
      </c>
      <c r="D48" s="309" t="s">
        <v>27</v>
      </c>
      <c r="E48" s="309" t="s">
        <v>27</v>
      </c>
      <c r="F48" s="309" t="s">
        <v>209</v>
      </c>
      <c r="G48" s="608">
        <v>45707</v>
      </c>
      <c r="H48" s="159">
        <v>1</v>
      </c>
      <c r="I48" s="160"/>
      <c r="J48" s="161"/>
    </row>
    <row r="49" spans="1:10">
      <c r="A49" s="419" t="s">
        <v>179</v>
      </c>
      <c r="B49" s="158" t="s">
        <v>25</v>
      </c>
      <c r="C49" s="309" t="s">
        <v>99</v>
      </c>
      <c r="D49" s="309" t="s">
        <v>27</v>
      </c>
      <c r="E49" s="309" t="s">
        <v>27</v>
      </c>
      <c r="F49" s="309" t="s">
        <v>209</v>
      </c>
      <c r="G49" s="608">
        <v>45708</v>
      </c>
      <c r="H49" s="159">
        <v>1</v>
      </c>
      <c r="I49" s="160"/>
      <c r="J49" s="161"/>
    </row>
    <row r="50" spans="1:10">
      <c r="A50" s="420" t="s">
        <v>181</v>
      </c>
      <c r="B50" s="158" t="s">
        <v>25</v>
      </c>
      <c r="C50" s="309" t="s">
        <v>99</v>
      </c>
      <c r="D50" s="309" t="s">
        <v>27</v>
      </c>
      <c r="E50" s="309" t="s">
        <v>27</v>
      </c>
      <c r="F50" s="309" t="s">
        <v>209</v>
      </c>
      <c r="G50" s="608">
        <v>45709</v>
      </c>
      <c r="H50" s="159">
        <v>1</v>
      </c>
      <c r="I50" s="160"/>
      <c r="J50" s="161"/>
    </row>
    <row r="51" spans="1:10">
      <c r="A51" s="421" t="s">
        <v>183</v>
      </c>
      <c r="B51" s="158" t="s">
        <v>25</v>
      </c>
      <c r="C51" s="309" t="s">
        <v>99</v>
      </c>
      <c r="D51" s="309" t="s">
        <v>27</v>
      </c>
      <c r="E51" s="309" t="s">
        <v>27</v>
      </c>
      <c r="F51" s="309" t="s">
        <v>209</v>
      </c>
      <c r="G51" s="608">
        <v>45712</v>
      </c>
      <c r="H51" s="159">
        <v>1</v>
      </c>
      <c r="I51" s="160"/>
      <c r="J51" s="161"/>
    </row>
    <row r="52" spans="1:10">
      <c r="A52" s="422" t="s">
        <v>185</v>
      </c>
      <c r="B52" s="158" t="s">
        <v>25</v>
      </c>
      <c r="C52" s="309" t="s">
        <v>99</v>
      </c>
      <c r="D52" s="309" t="s">
        <v>27</v>
      </c>
      <c r="E52" s="309" t="s">
        <v>27</v>
      </c>
      <c r="F52" s="309" t="s">
        <v>209</v>
      </c>
      <c r="G52" s="608">
        <v>45713</v>
      </c>
      <c r="H52" s="159">
        <v>1</v>
      </c>
      <c r="I52" s="160"/>
      <c r="J52" s="161"/>
    </row>
    <row r="53" spans="1:10">
      <c r="A53" s="118" t="s">
        <v>187</v>
      </c>
      <c r="B53" s="158" t="s">
        <v>25</v>
      </c>
      <c r="C53" s="309" t="s">
        <v>99</v>
      </c>
      <c r="D53" s="309" t="s">
        <v>27</v>
      </c>
      <c r="E53" s="309" t="s">
        <v>27</v>
      </c>
      <c r="F53" s="309" t="s">
        <v>209</v>
      </c>
      <c r="G53" s="608">
        <v>45714</v>
      </c>
      <c r="H53" s="159">
        <v>1</v>
      </c>
      <c r="I53" s="160"/>
      <c r="J53" s="161"/>
    </row>
    <row r="54" spans="1:10">
      <c r="A54" s="423" t="s">
        <v>189</v>
      </c>
      <c r="B54" s="158" t="s">
        <v>25</v>
      </c>
      <c r="C54" s="309" t="s">
        <v>99</v>
      </c>
      <c r="D54" s="309" t="s">
        <v>27</v>
      </c>
      <c r="E54" s="309" t="s">
        <v>27</v>
      </c>
      <c r="F54" s="309" t="s">
        <v>209</v>
      </c>
      <c r="G54" s="608">
        <v>45715</v>
      </c>
      <c r="H54" s="159">
        <v>1</v>
      </c>
      <c r="I54" s="160"/>
      <c r="J54" s="161"/>
    </row>
    <row r="55" spans="1:10">
      <c r="A55" s="424" t="s">
        <v>192</v>
      </c>
      <c r="B55" s="158" t="s">
        <v>25</v>
      </c>
      <c r="C55" s="309" t="s">
        <v>99</v>
      </c>
      <c r="D55" s="309" t="s">
        <v>27</v>
      </c>
      <c r="E55" s="309" t="s">
        <v>27</v>
      </c>
      <c r="F55" s="309" t="s">
        <v>209</v>
      </c>
      <c r="G55" s="608">
        <v>45716</v>
      </c>
      <c r="H55" s="159">
        <v>1</v>
      </c>
      <c r="I55" s="160"/>
      <c r="J55" s="161"/>
    </row>
    <row r="56" spans="1:10">
      <c r="A56" s="425" t="s">
        <v>195</v>
      </c>
      <c r="B56" s="158" t="s">
        <v>25</v>
      </c>
      <c r="C56" s="309" t="s">
        <v>99</v>
      </c>
      <c r="D56" s="309" t="s">
        <v>27</v>
      </c>
      <c r="E56" s="309" t="s">
        <v>27</v>
      </c>
      <c r="F56" s="309" t="s">
        <v>209</v>
      </c>
      <c r="G56" s="608">
        <v>45721</v>
      </c>
      <c r="H56" s="159">
        <v>1</v>
      </c>
      <c r="I56" s="160"/>
      <c r="J56" s="161"/>
    </row>
    <row r="57" spans="1:10">
      <c r="A57" s="134" t="s">
        <v>197</v>
      </c>
      <c r="B57" s="158" t="s">
        <v>25</v>
      </c>
      <c r="C57" s="309" t="s">
        <v>99</v>
      </c>
      <c r="D57" s="309" t="s">
        <v>27</v>
      </c>
      <c r="E57" s="309" t="s">
        <v>27</v>
      </c>
      <c r="F57" s="309" t="s">
        <v>209</v>
      </c>
      <c r="G57" s="608">
        <v>45722</v>
      </c>
      <c r="H57" s="159">
        <v>1</v>
      </c>
      <c r="I57" s="160"/>
      <c r="J57" s="161"/>
    </row>
    <row r="58" spans="1:10">
      <c r="A58" s="426" t="s">
        <v>199</v>
      </c>
      <c r="B58" s="158" t="s">
        <v>25</v>
      </c>
      <c r="C58" s="309" t="s">
        <v>99</v>
      </c>
      <c r="D58" s="309" t="s">
        <v>27</v>
      </c>
      <c r="E58" s="309" t="s">
        <v>27</v>
      </c>
      <c r="F58" s="309" t="s">
        <v>209</v>
      </c>
      <c r="G58" s="608">
        <v>45723</v>
      </c>
      <c r="H58" s="159">
        <v>1</v>
      </c>
      <c r="I58" s="160"/>
      <c r="J58" s="161"/>
    </row>
    <row r="59" spans="1:10">
      <c r="A59" s="427" t="s">
        <v>201</v>
      </c>
      <c r="B59" s="158" t="s">
        <v>25</v>
      </c>
      <c r="C59" s="309" t="s">
        <v>99</v>
      </c>
      <c r="D59" s="309" t="s">
        <v>27</v>
      </c>
      <c r="E59" s="309" t="s">
        <v>27</v>
      </c>
      <c r="F59" s="309" t="s">
        <v>209</v>
      </c>
      <c r="G59" s="608">
        <v>45726</v>
      </c>
      <c r="H59" s="159">
        <v>1</v>
      </c>
      <c r="I59" s="160"/>
      <c r="J59" s="161"/>
    </row>
    <row r="60" spans="1:10">
      <c r="A60" s="428" t="s">
        <v>203</v>
      </c>
      <c r="B60" s="158" t="s">
        <v>25</v>
      </c>
      <c r="C60" s="309" t="s">
        <v>99</v>
      </c>
      <c r="D60" s="309" t="s">
        <v>27</v>
      </c>
      <c r="E60" s="309" t="s">
        <v>27</v>
      </c>
      <c r="F60" s="309" t="s">
        <v>209</v>
      </c>
      <c r="G60" s="608">
        <v>45727</v>
      </c>
      <c r="H60" s="159">
        <v>1</v>
      </c>
      <c r="I60" s="160"/>
      <c r="J60" s="161"/>
    </row>
    <row r="61" spans="1:10">
      <c r="A61" s="429" t="s">
        <v>205</v>
      </c>
      <c r="B61" s="158" t="s">
        <v>25</v>
      </c>
      <c r="C61" s="309" t="s">
        <v>99</v>
      </c>
      <c r="D61" s="309" t="s">
        <v>27</v>
      </c>
      <c r="E61" s="309" t="s">
        <v>27</v>
      </c>
      <c r="F61" s="309" t="s">
        <v>209</v>
      </c>
      <c r="G61" s="608">
        <v>45728</v>
      </c>
      <c r="H61" s="159">
        <v>1</v>
      </c>
      <c r="I61" s="160"/>
      <c r="J61" s="161"/>
    </row>
    <row r="62" spans="1:10">
      <c r="A62" s="430" t="s">
        <v>207</v>
      </c>
      <c r="B62" s="158" t="s">
        <v>25</v>
      </c>
      <c r="C62" s="309" t="s">
        <v>99</v>
      </c>
      <c r="D62" s="309" t="s">
        <v>27</v>
      </c>
      <c r="E62" s="309" t="s">
        <v>27</v>
      </c>
      <c r="F62" s="309" t="s">
        <v>209</v>
      </c>
      <c r="G62" s="608">
        <v>45729</v>
      </c>
      <c r="H62" s="159">
        <v>1</v>
      </c>
      <c r="I62" s="160"/>
      <c r="J62" s="161"/>
    </row>
    <row r="63" spans="1:10">
      <c r="A63" s="137" t="s">
        <v>147</v>
      </c>
      <c r="B63" s="158" t="s">
        <v>102</v>
      </c>
      <c r="C63" s="309" t="s">
        <v>99</v>
      </c>
      <c r="D63" s="309" t="s">
        <v>210</v>
      </c>
      <c r="E63" s="309" t="s">
        <v>102</v>
      </c>
      <c r="F63" s="309" t="s">
        <v>211</v>
      </c>
      <c r="G63" s="608">
        <v>45686</v>
      </c>
      <c r="H63" s="159">
        <v>1</v>
      </c>
      <c r="I63" s="160"/>
      <c r="J63" s="161"/>
    </row>
    <row r="64" spans="1:10">
      <c r="A64" s="137" t="s">
        <v>147</v>
      </c>
      <c r="B64" s="158" t="s">
        <v>102</v>
      </c>
      <c r="C64" s="309" t="s">
        <v>99</v>
      </c>
      <c r="D64" s="309" t="s">
        <v>210</v>
      </c>
      <c r="E64" s="309" t="s">
        <v>102</v>
      </c>
      <c r="F64" s="309" t="s">
        <v>211</v>
      </c>
      <c r="G64" s="608">
        <v>45687</v>
      </c>
      <c r="H64" s="159">
        <v>1</v>
      </c>
      <c r="I64" s="160"/>
      <c r="J64" s="161"/>
    </row>
    <row r="65" spans="1:10">
      <c r="A65" s="118" t="s">
        <v>154</v>
      </c>
      <c r="B65" s="158" t="s">
        <v>102</v>
      </c>
      <c r="C65" s="309" t="s">
        <v>99</v>
      </c>
      <c r="D65" s="309" t="s">
        <v>210</v>
      </c>
      <c r="E65" s="309" t="s">
        <v>102</v>
      </c>
      <c r="F65" s="309" t="s">
        <v>211</v>
      </c>
      <c r="G65" s="608">
        <v>45688</v>
      </c>
      <c r="H65" s="159">
        <v>1</v>
      </c>
      <c r="I65" s="160"/>
      <c r="J65" s="161"/>
    </row>
    <row r="66" spans="1:10">
      <c r="A66" s="118" t="s">
        <v>154</v>
      </c>
      <c r="B66" s="158" t="s">
        <v>102</v>
      </c>
      <c r="C66" s="309" t="s">
        <v>99</v>
      </c>
      <c r="D66" s="309" t="s">
        <v>210</v>
      </c>
      <c r="E66" s="309" t="s">
        <v>102</v>
      </c>
      <c r="F66" s="309" t="s">
        <v>211</v>
      </c>
      <c r="G66" s="608">
        <v>45691</v>
      </c>
      <c r="H66" s="159">
        <v>1</v>
      </c>
      <c r="I66" s="160"/>
      <c r="J66" s="161"/>
    </row>
    <row r="67" spans="1:10">
      <c r="A67" s="410" t="s">
        <v>159</v>
      </c>
      <c r="B67" s="158" t="s">
        <v>102</v>
      </c>
      <c r="C67" s="309" t="s">
        <v>99</v>
      </c>
      <c r="D67" s="309" t="s">
        <v>210</v>
      </c>
      <c r="E67" s="309" t="s">
        <v>102</v>
      </c>
      <c r="F67" s="309" t="s">
        <v>211</v>
      </c>
      <c r="G67" s="608">
        <v>45692</v>
      </c>
      <c r="H67" s="159">
        <v>1</v>
      </c>
      <c r="I67" s="160"/>
      <c r="J67" s="161"/>
    </row>
    <row r="68" spans="1:10">
      <c r="A68" s="410" t="s">
        <v>159</v>
      </c>
      <c r="B68" s="158" t="s">
        <v>102</v>
      </c>
      <c r="C68" s="309" t="s">
        <v>99</v>
      </c>
      <c r="D68" s="309" t="s">
        <v>210</v>
      </c>
      <c r="E68" s="309" t="s">
        <v>102</v>
      </c>
      <c r="F68" s="309" t="s">
        <v>211</v>
      </c>
      <c r="G68" s="608">
        <v>45693</v>
      </c>
      <c r="H68" s="159">
        <v>1</v>
      </c>
      <c r="I68" s="160"/>
      <c r="J68" s="161"/>
    </row>
    <row r="69" spans="1:10">
      <c r="A69" s="412" t="s">
        <v>164</v>
      </c>
      <c r="B69" s="158" t="s">
        <v>102</v>
      </c>
      <c r="C69" s="309" t="s">
        <v>99</v>
      </c>
      <c r="D69" s="309" t="s">
        <v>210</v>
      </c>
      <c r="E69" s="309" t="s">
        <v>102</v>
      </c>
      <c r="F69" s="309" t="s">
        <v>211</v>
      </c>
      <c r="G69" s="608">
        <v>45694</v>
      </c>
      <c r="H69" s="159">
        <v>1</v>
      </c>
      <c r="I69" s="160"/>
      <c r="J69" s="161"/>
    </row>
    <row r="70" spans="1:10">
      <c r="A70" s="412" t="s">
        <v>164</v>
      </c>
      <c r="B70" s="158" t="s">
        <v>102</v>
      </c>
      <c r="C70" s="309" t="s">
        <v>99</v>
      </c>
      <c r="D70" s="309" t="s">
        <v>210</v>
      </c>
      <c r="E70" s="309" t="s">
        <v>102</v>
      </c>
      <c r="F70" s="309" t="s">
        <v>211</v>
      </c>
      <c r="G70" s="608">
        <v>45695</v>
      </c>
      <c r="H70" s="159">
        <v>1</v>
      </c>
      <c r="I70" s="160"/>
      <c r="J70" s="161"/>
    </row>
    <row r="71" spans="1:10">
      <c r="A71" s="416" t="s">
        <v>173</v>
      </c>
      <c r="B71" s="158" t="s">
        <v>102</v>
      </c>
      <c r="C71" s="309" t="s">
        <v>99</v>
      </c>
      <c r="D71" s="309" t="s">
        <v>210</v>
      </c>
      <c r="E71" s="309" t="s">
        <v>102</v>
      </c>
      <c r="F71" s="309" t="s">
        <v>211</v>
      </c>
      <c r="G71" s="608">
        <v>45698</v>
      </c>
      <c r="H71" s="159">
        <v>1</v>
      </c>
      <c r="I71" s="160"/>
      <c r="J71" s="161"/>
    </row>
    <row r="72" spans="1:10">
      <c r="A72" s="416" t="s">
        <v>173</v>
      </c>
      <c r="B72" s="158" t="s">
        <v>102</v>
      </c>
      <c r="C72" s="309" t="s">
        <v>99</v>
      </c>
      <c r="D72" s="309" t="s">
        <v>210</v>
      </c>
      <c r="E72" s="309" t="s">
        <v>102</v>
      </c>
      <c r="F72" s="309" t="s">
        <v>211</v>
      </c>
      <c r="G72" s="608">
        <v>45699</v>
      </c>
      <c r="H72" s="159">
        <v>1</v>
      </c>
      <c r="I72" s="160"/>
      <c r="J72" s="161"/>
    </row>
    <row r="73" spans="1:10">
      <c r="A73" s="418" t="s">
        <v>177</v>
      </c>
      <c r="B73" s="158" t="s">
        <v>102</v>
      </c>
      <c r="C73" s="309" t="s">
        <v>99</v>
      </c>
      <c r="D73" s="309" t="s">
        <v>210</v>
      </c>
      <c r="E73" s="309" t="s">
        <v>102</v>
      </c>
      <c r="F73" s="309" t="s">
        <v>211</v>
      </c>
      <c r="G73" s="608">
        <v>45700</v>
      </c>
      <c r="H73" s="159">
        <v>1</v>
      </c>
      <c r="I73" s="160"/>
      <c r="J73" s="161"/>
    </row>
    <row r="74" spans="1:10">
      <c r="A74" s="418" t="s">
        <v>177</v>
      </c>
      <c r="B74" s="158" t="s">
        <v>102</v>
      </c>
      <c r="C74" s="309" t="s">
        <v>99</v>
      </c>
      <c r="D74" s="309" t="s">
        <v>210</v>
      </c>
      <c r="E74" s="309" t="s">
        <v>102</v>
      </c>
      <c r="F74" s="309" t="s">
        <v>211</v>
      </c>
      <c r="G74" s="608">
        <v>45701</v>
      </c>
      <c r="H74" s="159">
        <v>1</v>
      </c>
      <c r="I74" s="160"/>
      <c r="J74" s="161"/>
    </row>
    <row r="75" spans="1:10">
      <c r="A75" s="422" t="s">
        <v>185</v>
      </c>
      <c r="B75" s="158" t="s">
        <v>102</v>
      </c>
      <c r="C75" s="309" t="s">
        <v>99</v>
      </c>
      <c r="D75" s="309" t="s">
        <v>210</v>
      </c>
      <c r="E75" s="309" t="s">
        <v>102</v>
      </c>
      <c r="F75" s="309" t="s">
        <v>211</v>
      </c>
      <c r="G75" s="608">
        <v>45702</v>
      </c>
      <c r="H75" s="159">
        <v>1</v>
      </c>
      <c r="I75" s="160"/>
      <c r="J75" s="161"/>
    </row>
    <row r="76" spans="1:10">
      <c r="A76" s="422" t="s">
        <v>185</v>
      </c>
      <c r="B76" s="158" t="s">
        <v>102</v>
      </c>
      <c r="C76" s="309" t="s">
        <v>99</v>
      </c>
      <c r="D76" s="309" t="s">
        <v>210</v>
      </c>
      <c r="E76" s="309" t="s">
        <v>102</v>
      </c>
      <c r="F76" s="309" t="s">
        <v>211</v>
      </c>
      <c r="G76" s="608">
        <v>45705</v>
      </c>
      <c r="H76" s="159">
        <v>1</v>
      </c>
      <c r="I76" s="160"/>
      <c r="J76" s="161"/>
    </row>
    <row r="77" spans="1:10">
      <c r="A77" s="423" t="s">
        <v>189</v>
      </c>
      <c r="B77" s="158" t="s">
        <v>102</v>
      </c>
      <c r="C77" s="309" t="s">
        <v>99</v>
      </c>
      <c r="D77" s="309" t="s">
        <v>210</v>
      </c>
      <c r="E77" s="309" t="s">
        <v>102</v>
      </c>
      <c r="F77" s="309" t="s">
        <v>211</v>
      </c>
      <c r="G77" s="608">
        <v>45706</v>
      </c>
      <c r="H77" s="159">
        <v>1</v>
      </c>
      <c r="I77" s="160"/>
      <c r="J77" s="161"/>
    </row>
    <row r="78" spans="1:10">
      <c r="A78" s="423" t="s">
        <v>189</v>
      </c>
      <c r="B78" s="158" t="s">
        <v>102</v>
      </c>
      <c r="C78" s="309" t="s">
        <v>99</v>
      </c>
      <c r="D78" s="309" t="s">
        <v>210</v>
      </c>
      <c r="E78" s="309" t="s">
        <v>102</v>
      </c>
      <c r="F78" s="309" t="s">
        <v>211</v>
      </c>
      <c r="G78" s="608">
        <v>45707</v>
      </c>
      <c r="H78" s="159">
        <v>1</v>
      </c>
      <c r="I78" s="160"/>
      <c r="J78" s="161"/>
    </row>
    <row r="79" spans="1:10">
      <c r="A79" s="426" t="s">
        <v>199</v>
      </c>
      <c r="B79" s="158" t="s">
        <v>102</v>
      </c>
      <c r="C79" s="309" t="s">
        <v>99</v>
      </c>
      <c r="D79" s="309" t="s">
        <v>210</v>
      </c>
      <c r="E79" s="309" t="s">
        <v>102</v>
      </c>
      <c r="F79" s="309" t="s">
        <v>211</v>
      </c>
      <c r="G79" s="608">
        <v>45708</v>
      </c>
      <c r="H79" s="159">
        <v>1</v>
      </c>
      <c r="I79" s="160"/>
      <c r="J79" s="161"/>
    </row>
    <row r="80" spans="1:10">
      <c r="A80" s="426" t="s">
        <v>199</v>
      </c>
      <c r="B80" s="158" t="s">
        <v>102</v>
      </c>
      <c r="C80" s="309" t="s">
        <v>99</v>
      </c>
      <c r="D80" s="309" t="s">
        <v>210</v>
      </c>
      <c r="E80" s="309" t="s">
        <v>102</v>
      </c>
      <c r="F80" s="309" t="s">
        <v>211</v>
      </c>
      <c r="G80" s="608">
        <v>45709</v>
      </c>
      <c r="H80" s="159">
        <v>1</v>
      </c>
      <c r="I80" s="160"/>
      <c r="J80" s="161"/>
    </row>
    <row r="81" spans="1:10">
      <c r="A81" s="430" t="s">
        <v>207</v>
      </c>
      <c r="B81" s="158" t="s">
        <v>102</v>
      </c>
      <c r="C81" s="309" t="s">
        <v>99</v>
      </c>
      <c r="D81" s="309" t="s">
        <v>210</v>
      </c>
      <c r="E81" s="309" t="s">
        <v>102</v>
      </c>
      <c r="F81" s="309" t="s">
        <v>211</v>
      </c>
      <c r="G81" s="608">
        <v>45712</v>
      </c>
      <c r="H81" s="159">
        <v>1</v>
      </c>
      <c r="I81" s="160"/>
      <c r="J81" s="161"/>
    </row>
    <row r="82" spans="1:10">
      <c r="A82" s="430" t="s">
        <v>207</v>
      </c>
      <c r="B82" s="158" t="s">
        <v>102</v>
      </c>
      <c r="C82" s="309" t="s">
        <v>99</v>
      </c>
      <c r="D82" s="309" t="s">
        <v>210</v>
      </c>
      <c r="E82" s="309" t="s">
        <v>102</v>
      </c>
      <c r="F82" s="309" t="s">
        <v>211</v>
      </c>
      <c r="G82" s="608">
        <v>45713</v>
      </c>
      <c r="H82" s="159">
        <v>1</v>
      </c>
      <c r="I82" s="160"/>
      <c r="J82" s="161"/>
    </row>
    <row r="83" spans="1:10">
      <c r="A83" s="137" t="s">
        <v>147</v>
      </c>
      <c r="B83" s="158" t="s">
        <v>102</v>
      </c>
      <c r="C83" s="309" t="s">
        <v>99</v>
      </c>
      <c r="D83" s="309" t="s">
        <v>210</v>
      </c>
      <c r="E83" s="309" t="s">
        <v>102</v>
      </c>
      <c r="F83" s="309" t="s">
        <v>211</v>
      </c>
      <c r="G83" s="608">
        <v>45686</v>
      </c>
      <c r="H83" s="159">
        <v>1</v>
      </c>
      <c r="I83" s="160"/>
      <c r="J83" s="161"/>
    </row>
    <row r="84" spans="1:10">
      <c r="A84" s="137" t="s">
        <v>147</v>
      </c>
      <c r="B84" s="158" t="s">
        <v>102</v>
      </c>
      <c r="C84" s="309" t="s">
        <v>99</v>
      </c>
      <c r="D84" s="309" t="s">
        <v>210</v>
      </c>
      <c r="E84" s="309" t="s">
        <v>102</v>
      </c>
      <c r="F84" s="309" t="s">
        <v>211</v>
      </c>
      <c r="G84" s="608">
        <v>45687</v>
      </c>
      <c r="H84" s="159">
        <v>1</v>
      </c>
      <c r="I84" s="160"/>
      <c r="J84" s="161"/>
    </row>
    <row r="85" spans="1:10">
      <c r="A85" s="118" t="s">
        <v>154</v>
      </c>
      <c r="B85" s="158" t="s">
        <v>102</v>
      </c>
      <c r="C85" s="309" t="s">
        <v>99</v>
      </c>
      <c r="D85" s="309" t="s">
        <v>210</v>
      </c>
      <c r="E85" s="309" t="s">
        <v>102</v>
      </c>
      <c r="F85" s="309" t="s">
        <v>211</v>
      </c>
      <c r="G85" s="608">
        <v>45688</v>
      </c>
      <c r="H85" s="159">
        <v>1</v>
      </c>
      <c r="I85" s="160"/>
      <c r="J85" s="161"/>
    </row>
    <row r="86" spans="1:10">
      <c r="A86" s="118" t="s">
        <v>154</v>
      </c>
      <c r="B86" s="158" t="s">
        <v>102</v>
      </c>
      <c r="C86" s="309" t="s">
        <v>99</v>
      </c>
      <c r="D86" s="309" t="s">
        <v>210</v>
      </c>
      <c r="E86" s="309" t="s">
        <v>102</v>
      </c>
      <c r="F86" s="309" t="s">
        <v>211</v>
      </c>
      <c r="G86" s="608">
        <v>45691</v>
      </c>
      <c r="H86" s="159">
        <v>1</v>
      </c>
      <c r="I86" s="160"/>
      <c r="J86" s="161"/>
    </row>
    <row r="87" spans="1:10">
      <c r="A87" s="410" t="s">
        <v>159</v>
      </c>
      <c r="B87" s="158" t="s">
        <v>102</v>
      </c>
      <c r="C87" s="309" t="s">
        <v>99</v>
      </c>
      <c r="D87" s="309" t="s">
        <v>210</v>
      </c>
      <c r="E87" s="309" t="s">
        <v>102</v>
      </c>
      <c r="F87" s="309" t="s">
        <v>211</v>
      </c>
      <c r="G87" s="608">
        <v>45692</v>
      </c>
      <c r="H87" s="159">
        <v>1</v>
      </c>
      <c r="I87" s="160"/>
      <c r="J87" s="161"/>
    </row>
    <row r="88" spans="1:10">
      <c r="A88" s="410" t="s">
        <v>159</v>
      </c>
      <c r="B88" s="158" t="s">
        <v>102</v>
      </c>
      <c r="C88" s="309" t="s">
        <v>99</v>
      </c>
      <c r="D88" s="309" t="s">
        <v>210</v>
      </c>
      <c r="E88" s="309" t="s">
        <v>102</v>
      </c>
      <c r="F88" s="309" t="s">
        <v>211</v>
      </c>
      <c r="G88" s="608">
        <v>45693</v>
      </c>
      <c r="H88" s="159">
        <v>1</v>
      </c>
      <c r="I88" s="160"/>
      <c r="J88" s="161"/>
    </row>
    <row r="89" spans="1:10">
      <c r="A89" s="412" t="s">
        <v>164</v>
      </c>
      <c r="B89" s="158" t="s">
        <v>102</v>
      </c>
      <c r="C89" s="309" t="s">
        <v>99</v>
      </c>
      <c r="D89" s="309" t="s">
        <v>210</v>
      </c>
      <c r="E89" s="309" t="s">
        <v>102</v>
      </c>
      <c r="F89" s="309" t="s">
        <v>211</v>
      </c>
      <c r="G89" s="608">
        <v>45694</v>
      </c>
      <c r="H89" s="159">
        <v>1</v>
      </c>
      <c r="I89" s="160"/>
      <c r="J89" s="161"/>
    </row>
    <row r="90" spans="1:10">
      <c r="A90" s="412" t="s">
        <v>164</v>
      </c>
      <c r="B90" s="158" t="s">
        <v>102</v>
      </c>
      <c r="C90" s="309" t="s">
        <v>99</v>
      </c>
      <c r="D90" s="309" t="s">
        <v>210</v>
      </c>
      <c r="E90" s="309" t="s">
        <v>102</v>
      </c>
      <c r="F90" s="309" t="s">
        <v>211</v>
      </c>
      <c r="G90" s="608">
        <v>45695</v>
      </c>
      <c r="H90" s="159">
        <v>1</v>
      </c>
      <c r="I90" s="160"/>
      <c r="J90" s="161"/>
    </row>
    <row r="91" spans="1:10">
      <c r="A91" s="416" t="s">
        <v>173</v>
      </c>
      <c r="B91" s="158" t="s">
        <v>102</v>
      </c>
      <c r="C91" s="309" t="s">
        <v>99</v>
      </c>
      <c r="D91" s="309" t="s">
        <v>210</v>
      </c>
      <c r="E91" s="309" t="s">
        <v>102</v>
      </c>
      <c r="F91" s="309" t="s">
        <v>211</v>
      </c>
      <c r="G91" s="608">
        <v>45698</v>
      </c>
      <c r="H91" s="159">
        <v>1</v>
      </c>
      <c r="I91" s="160"/>
      <c r="J91" s="161"/>
    </row>
    <row r="92" spans="1:10">
      <c r="A92" s="416" t="s">
        <v>173</v>
      </c>
      <c r="B92" s="158" t="s">
        <v>102</v>
      </c>
      <c r="C92" s="309" t="s">
        <v>99</v>
      </c>
      <c r="D92" s="309" t="s">
        <v>210</v>
      </c>
      <c r="E92" s="309" t="s">
        <v>102</v>
      </c>
      <c r="F92" s="309" t="s">
        <v>211</v>
      </c>
      <c r="G92" s="608">
        <v>45699</v>
      </c>
      <c r="H92" s="159">
        <v>1</v>
      </c>
      <c r="I92" s="160"/>
      <c r="J92" s="161"/>
    </row>
    <row r="93" spans="1:10">
      <c r="A93" s="418" t="s">
        <v>177</v>
      </c>
      <c r="B93" s="158" t="s">
        <v>102</v>
      </c>
      <c r="C93" s="309" t="s">
        <v>99</v>
      </c>
      <c r="D93" s="309" t="s">
        <v>210</v>
      </c>
      <c r="E93" s="309" t="s">
        <v>102</v>
      </c>
      <c r="F93" s="309" t="s">
        <v>211</v>
      </c>
      <c r="G93" s="608">
        <v>45700</v>
      </c>
      <c r="H93" s="159">
        <v>1</v>
      </c>
      <c r="I93" s="160"/>
      <c r="J93" s="161"/>
    </row>
    <row r="94" spans="1:10">
      <c r="A94" s="418" t="s">
        <v>177</v>
      </c>
      <c r="B94" s="158" t="s">
        <v>102</v>
      </c>
      <c r="C94" s="309" t="s">
        <v>99</v>
      </c>
      <c r="D94" s="309" t="s">
        <v>210</v>
      </c>
      <c r="E94" s="309" t="s">
        <v>102</v>
      </c>
      <c r="F94" s="309" t="s">
        <v>211</v>
      </c>
      <c r="G94" s="608">
        <v>45701</v>
      </c>
      <c r="H94" s="159">
        <v>1</v>
      </c>
      <c r="I94" s="160"/>
      <c r="J94" s="161"/>
    </row>
    <row r="95" spans="1:10">
      <c r="A95" s="422" t="s">
        <v>185</v>
      </c>
      <c r="B95" s="158" t="s">
        <v>102</v>
      </c>
      <c r="C95" s="309" t="s">
        <v>99</v>
      </c>
      <c r="D95" s="309" t="s">
        <v>210</v>
      </c>
      <c r="E95" s="309" t="s">
        <v>102</v>
      </c>
      <c r="F95" s="309" t="s">
        <v>211</v>
      </c>
      <c r="G95" s="608">
        <v>45702</v>
      </c>
      <c r="H95" s="159">
        <v>1</v>
      </c>
      <c r="I95" s="160"/>
      <c r="J95" s="161"/>
    </row>
    <row r="96" spans="1:10">
      <c r="A96" s="422" t="s">
        <v>185</v>
      </c>
      <c r="B96" s="158" t="s">
        <v>102</v>
      </c>
      <c r="C96" s="309" t="s">
        <v>99</v>
      </c>
      <c r="D96" s="309" t="s">
        <v>210</v>
      </c>
      <c r="E96" s="309" t="s">
        <v>102</v>
      </c>
      <c r="F96" s="309" t="s">
        <v>211</v>
      </c>
      <c r="G96" s="608">
        <v>45705</v>
      </c>
      <c r="H96" s="159">
        <v>1</v>
      </c>
      <c r="I96" s="160"/>
      <c r="J96" s="161"/>
    </row>
    <row r="97" spans="1:10">
      <c r="A97" s="423" t="s">
        <v>189</v>
      </c>
      <c r="B97" s="158" t="s">
        <v>102</v>
      </c>
      <c r="C97" s="309" t="s">
        <v>99</v>
      </c>
      <c r="D97" s="309" t="s">
        <v>210</v>
      </c>
      <c r="E97" s="309" t="s">
        <v>102</v>
      </c>
      <c r="F97" s="309" t="s">
        <v>211</v>
      </c>
      <c r="G97" s="608">
        <v>45706</v>
      </c>
      <c r="H97" s="159">
        <v>1</v>
      </c>
      <c r="I97" s="160"/>
      <c r="J97" s="161"/>
    </row>
    <row r="98" spans="1:10">
      <c r="A98" s="423" t="s">
        <v>189</v>
      </c>
      <c r="B98" s="158" t="s">
        <v>102</v>
      </c>
      <c r="C98" s="309" t="s">
        <v>99</v>
      </c>
      <c r="D98" s="309" t="s">
        <v>210</v>
      </c>
      <c r="E98" s="309" t="s">
        <v>102</v>
      </c>
      <c r="F98" s="309" t="s">
        <v>211</v>
      </c>
      <c r="G98" s="608">
        <v>45707</v>
      </c>
      <c r="H98" s="159">
        <v>1</v>
      </c>
      <c r="I98" s="160"/>
      <c r="J98" s="161"/>
    </row>
    <row r="99" spans="1:10">
      <c r="A99" s="426" t="s">
        <v>199</v>
      </c>
      <c r="B99" s="158" t="s">
        <v>102</v>
      </c>
      <c r="C99" s="309" t="s">
        <v>99</v>
      </c>
      <c r="D99" s="309" t="s">
        <v>210</v>
      </c>
      <c r="E99" s="309" t="s">
        <v>102</v>
      </c>
      <c r="F99" s="309" t="s">
        <v>211</v>
      </c>
      <c r="G99" s="608">
        <v>45708</v>
      </c>
      <c r="H99" s="159">
        <v>1</v>
      </c>
      <c r="I99" s="160"/>
      <c r="J99" s="161"/>
    </row>
    <row r="100" spans="1:10">
      <c r="A100" s="426" t="s">
        <v>199</v>
      </c>
      <c r="B100" s="158" t="s">
        <v>102</v>
      </c>
      <c r="C100" s="309" t="s">
        <v>99</v>
      </c>
      <c r="D100" s="309" t="s">
        <v>210</v>
      </c>
      <c r="E100" s="309" t="s">
        <v>102</v>
      </c>
      <c r="F100" s="309" t="s">
        <v>211</v>
      </c>
      <c r="G100" s="608">
        <v>45709</v>
      </c>
      <c r="H100" s="159">
        <v>1</v>
      </c>
      <c r="I100" s="160"/>
      <c r="J100" s="161"/>
    </row>
    <row r="101" spans="1:10">
      <c r="A101" s="430" t="s">
        <v>207</v>
      </c>
      <c r="B101" s="158" t="s">
        <v>102</v>
      </c>
      <c r="C101" s="309" t="s">
        <v>99</v>
      </c>
      <c r="D101" s="309" t="s">
        <v>210</v>
      </c>
      <c r="E101" s="309" t="s">
        <v>102</v>
      </c>
      <c r="F101" s="309" t="s">
        <v>211</v>
      </c>
      <c r="G101" s="608">
        <v>45712</v>
      </c>
      <c r="H101" s="159">
        <v>1</v>
      </c>
      <c r="I101" s="160"/>
      <c r="J101" s="161"/>
    </row>
    <row r="102" spans="1:10">
      <c r="A102" s="430" t="s">
        <v>207</v>
      </c>
      <c r="B102" s="158" t="s">
        <v>102</v>
      </c>
      <c r="C102" s="309" t="s">
        <v>99</v>
      </c>
      <c r="D102" s="309" t="s">
        <v>210</v>
      </c>
      <c r="E102" s="309" t="s">
        <v>102</v>
      </c>
      <c r="F102" s="309" t="s">
        <v>211</v>
      </c>
      <c r="G102" s="608">
        <v>45713</v>
      </c>
      <c r="H102" s="159">
        <v>1</v>
      </c>
      <c r="I102" s="160"/>
      <c r="J102" s="161"/>
    </row>
    <row r="103" spans="1:10">
      <c r="A103" s="136" t="s">
        <v>144</v>
      </c>
      <c r="B103" s="158" t="s">
        <v>102</v>
      </c>
      <c r="C103" s="309" t="s">
        <v>99</v>
      </c>
      <c r="D103" s="309" t="s">
        <v>210</v>
      </c>
      <c r="E103" s="309" t="s">
        <v>102</v>
      </c>
      <c r="F103" s="309" t="s">
        <v>212</v>
      </c>
      <c r="G103" s="608">
        <v>45686</v>
      </c>
      <c r="H103" s="159">
        <v>1</v>
      </c>
      <c r="I103" s="160"/>
      <c r="J103" s="161"/>
    </row>
    <row r="104" spans="1:10">
      <c r="A104" s="136" t="s">
        <v>144</v>
      </c>
      <c r="B104" s="158" t="s">
        <v>102</v>
      </c>
      <c r="C104" s="309" t="s">
        <v>99</v>
      </c>
      <c r="D104" s="309" t="s">
        <v>210</v>
      </c>
      <c r="E104" s="309" t="s">
        <v>102</v>
      </c>
      <c r="F104" s="309" t="s">
        <v>212</v>
      </c>
      <c r="G104" s="608">
        <v>45687</v>
      </c>
      <c r="H104" s="159">
        <v>1</v>
      </c>
      <c r="I104" s="160"/>
      <c r="J104" s="161"/>
    </row>
    <row r="105" spans="1:10">
      <c r="A105" s="138" t="s">
        <v>152</v>
      </c>
      <c r="B105" s="158" t="s">
        <v>102</v>
      </c>
      <c r="C105" s="309" t="s">
        <v>99</v>
      </c>
      <c r="D105" s="309" t="s">
        <v>210</v>
      </c>
      <c r="E105" s="309" t="s">
        <v>102</v>
      </c>
      <c r="F105" s="309" t="s">
        <v>212</v>
      </c>
      <c r="G105" s="608">
        <v>45688</v>
      </c>
      <c r="H105" s="159">
        <v>1</v>
      </c>
      <c r="I105" s="160"/>
      <c r="J105" s="161"/>
    </row>
    <row r="106" spans="1:10">
      <c r="A106" s="138" t="s">
        <v>152</v>
      </c>
      <c r="B106" s="158" t="s">
        <v>102</v>
      </c>
      <c r="C106" s="309" t="s">
        <v>99</v>
      </c>
      <c r="D106" s="309" t="s">
        <v>210</v>
      </c>
      <c r="E106" s="309" t="s">
        <v>102</v>
      </c>
      <c r="F106" s="309" t="s">
        <v>212</v>
      </c>
      <c r="G106" s="608">
        <v>45691</v>
      </c>
      <c r="H106" s="159">
        <v>1</v>
      </c>
      <c r="I106" s="160"/>
      <c r="J106" s="161"/>
    </row>
    <row r="107" spans="1:10">
      <c r="A107" s="411" t="s">
        <v>162</v>
      </c>
      <c r="B107" s="158" t="s">
        <v>102</v>
      </c>
      <c r="C107" s="309" t="s">
        <v>99</v>
      </c>
      <c r="D107" s="309" t="s">
        <v>210</v>
      </c>
      <c r="E107" s="309" t="s">
        <v>102</v>
      </c>
      <c r="F107" s="309" t="s">
        <v>212</v>
      </c>
      <c r="G107" s="608">
        <v>45692</v>
      </c>
      <c r="H107" s="159">
        <v>1</v>
      </c>
      <c r="I107" s="160"/>
      <c r="J107" s="161"/>
    </row>
    <row r="108" spans="1:10">
      <c r="A108" s="411" t="s">
        <v>162</v>
      </c>
      <c r="B108" s="158" t="s">
        <v>102</v>
      </c>
      <c r="C108" s="309" t="s">
        <v>99</v>
      </c>
      <c r="D108" s="309" t="s">
        <v>210</v>
      </c>
      <c r="E108" s="309" t="s">
        <v>102</v>
      </c>
      <c r="F108" s="309" t="s">
        <v>212</v>
      </c>
      <c r="G108" s="608">
        <v>45693</v>
      </c>
      <c r="H108" s="159">
        <v>1</v>
      </c>
      <c r="I108" s="160"/>
      <c r="J108" s="161"/>
    </row>
    <row r="109" spans="1:10">
      <c r="A109" s="414" t="s">
        <v>169</v>
      </c>
      <c r="B109" s="158" t="s">
        <v>102</v>
      </c>
      <c r="C109" s="309" t="s">
        <v>99</v>
      </c>
      <c r="D109" s="309" t="s">
        <v>210</v>
      </c>
      <c r="E109" s="309" t="s">
        <v>102</v>
      </c>
      <c r="F109" s="309" t="s">
        <v>212</v>
      </c>
      <c r="G109" s="608">
        <v>45694</v>
      </c>
      <c r="H109" s="159">
        <v>1</v>
      </c>
      <c r="I109" s="160"/>
      <c r="J109" s="161"/>
    </row>
    <row r="110" spans="1:10">
      <c r="A110" s="414" t="s">
        <v>169</v>
      </c>
      <c r="B110" s="158" t="s">
        <v>102</v>
      </c>
      <c r="C110" s="309" t="s">
        <v>99</v>
      </c>
      <c r="D110" s="309" t="s">
        <v>210</v>
      </c>
      <c r="E110" s="309" t="s">
        <v>102</v>
      </c>
      <c r="F110" s="309" t="s">
        <v>212</v>
      </c>
      <c r="G110" s="608">
        <v>45695</v>
      </c>
      <c r="H110" s="159">
        <v>1</v>
      </c>
      <c r="I110" s="160"/>
      <c r="J110" s="161"/>
    </row>
    <row r="111" spans="1:10">
      <c r="A111" s="417" t="s">
        <v>175</v>
      </c>
      <c r="B111" s="158" t="s">
        <v>102</v>
      </c>
      <c r="C111" s="309" t="s">
        <v>99</v>
      </c>
      <c r="D111" s="309" t="s">
        <v>210</v>
      </c>
      <c r="E111" s="309" t="s">
        <v>102</v>
      </c>
      <c r="F111" s="309" t="s">
        <v>212</v>
      </c>
      <c r="G111" s="608">
        <v>45698</v>
      </c>
      <c r="H111" s="159">
        <v>1</v>
      </c>
      <c r="I111" s="160"/>
      <c r="J111" s="161"/>
    </row>
    <row r="112" spans="1:10">
      <c r="A112" s="417" t="s">
        <v>175</v>
      </c>
      <c r="B112" s="158" t="s">
        <v>102</v>
      </c>
      <c r="C112" s="309" t="s">
        <v>99</v>
      </c>
      <c r="D112" s="309" t="s">
        <v>210</v>
      </c>
      <c r="E112" s="309" t="s">
        <v>102</v>
      </c>
      <c r="F112" s="309" t="s">
        <v>212</v>
      </c>
      <c r="G112" s="608">
        <v>45699</v>
      </c>
      <c r="H112" s="159">
        <v>1</v>
      </c>
      <c r="I112" s="160"/>
      <c r="J112" s="161"/>
    </row>
    <row r="113" spans="1:10">
      <c r="A113" s="420" t="s">
        <v>181</v>
      </c>
      <c r="B113" s="158" t="s">
        <v>102</v>
      </c>
      <c r="C113" s="309" t="s">
        <v>99</v>
      </c>
      <c r="D113" s="309" t="s">
        <v>210</v>
      </c>
      <c r="E113" s="309" t="s">
        <v>102</v>
      </c>
      <c r="F113" s="309" t="s">
        <v>212</v>
      </c>
      <c r="G113" s="608">
        <v>45700</v>
      </c>
      <c r="H113" s="159">
        <v>1</v>
      </c>
      <c r="I113" s="160"/>
      <c r="J113" s="161"/>
    </row>
    <row r="114" spans="1:10">
      <c r="A114" s="420" t="s">
        <v>181</v>
      </c>
      <c r="B114" s="158" t="s">
        <v>102</v>
      </c>
      <c r="C114" s="309" t="s">
        <v>99</v>
      </c>
      <c r="D114" s="309" t="s">
        <v>210</v>
      </c>
      <c r="E114" s="309" t="s">
        <v>102</v>
      </c>
      <c r="F114" s="309" t="s">
        <v>212</v>
      </c>
      <c r="G114" s="608">
        <v>45701</v>
      </c>
      <c r="H114" s="159">
        <v>1</v>
      </c>
      <c r="I114" s="160"/>
      <c r="J114" s="161"/>
    </row>
    <row r="115" spans="1:10">
      <c r="A115" s="421" t="s">
        <v>183</v>
      </c>
      <c r="B115" s="158" t="s">
        <v>102</v>
      </c>
      <c r="C115" s="309" t="s">
        <v>99</v>
      </c>
      <c r="D115" s="309" t="s">
        <v>210</v>
      </c>
      <c r="E115" s="309" t="s">
        <v>102</v>
      </c>
      <c r="F115" s="309" t="s">
        <v>212</v>
      </c>
      <c r="G115" s="608">
        <v>45702</v>
      </c>
      <c r="H115" s="159">
        <v>1</v>
      </c>
      <c r="I115" s="160"/>
      <c r="J115" s="161"/>
    </row>
    <row r="116" spans="1:10">
      <c r="A116" s="421" t="s">
        <v>183</v>
      </c>
      <c r="B116" s="158" t="s">
        <v>102</v>
      </c>
      <c r="C116" s="309" t="s">
        <v>99</v>
      </c>
      <c r="D116" s="309" t="s">
        <v>210</v>
      </c>
      <c r="E116" s="309" t="s">
        <v>102</v>
      </c>
      <c r="F116" s="309" t="s">
        <v>212</v>
      </c>
      <c r="G116" s="608">
        <v>45705</v>
      </c>
      <c r="H116" s="159">
        <v>1</v>
      </c>
      <c r="I116" s="160"/>
      <c r="J116" s="161"/>
    </row>
    <row r="117" spans="1:10">
      <c r="A117" s="425" t="s">
        <v>195</v>
      </c>
      <c r="B117" s="158" t="s">
        <v>102</v>
      </c>
      <c r="C117" s="309" t="s">
        <v>99</v>
      </c>
      <c r="D117" s="309" t="s">
        <v>210</v>
      </c>
      <c r="E117" s="309" t="s">
        <v>102</v>
      </c>
      <c r="F117" s="309" t="s">
        <v>212</v>
      </c>
      <c r="G117" s="608">
        <v>45706</v>
      </c>
      <c r="H117" s="159">
        <v>1</v>
      </c>
      <c r="I117" s="160"/>
      <c r="J117" s="161"/>
    </row>
    <row r="118" spans="1:10">
      <c r="A118" s="425" t="s">
        <v>195</v>
      </c>
      <c r="B118" s="158" t="s">
        <v>102</v>
      </c>
      <c r="C118" s="309" t="s">
        <v>99</v>
      </c>
      <c r="D118" s="309" t="s">
        <v>210</v>
      </c>
      <c r="E118" s="309" t="s">
        <v>102</v>
      </c>
      <c r="F118" s="309" t="s">
        <v>212</v>
      </c>
      <c r="G118" s="608">
        <v>45707</v>
      </c>
      <c r="H118" s="159">
        <v>1</v>
      </c>
      <c r="I118" s="160"/>
      <c r="J118" s="161"/>
    </row>
    <row r="119" spans="1:10">
      <c r="A119" s="427" t="s">
        <v>201</v>
      </c>
      <c r="B119" s="158" t="s">
        <v>102</v>
      </c>
      <c r="C119" s="309" t="s">
        <v>99</v>
      </c>
      <c r="D119" s="309" t="s">
        <v>210</v>
      </c>
      <c r="E119" s="309" t="s">
        <v>102</v>
      </c>
      <c r="F119" s="309" t="s">
        <v>212</v>
      </c>
      <c r="G119" s="608">
        <v>45708</v>
      </c>
      <c r="H119" s="159">
        <v>1</v>
      </c>
      <c r="I119" s="160"/>
      <c r="J119" s="161"/>
    </row>
    <row r="120" spans="1:10">
      <c r="A120" s="427" t="s">
        <v>201</v>
      </c>
      <c r="B120" s="158" t="s">
        <v>102</v>
      </c>
      <c r="C120" s="309" t="s">
        <v>99</v>
      </c>
      <c r="D120" s="309" t="s">
        <v>210</v>
      </c>
      <c r="E120" s="309" t="s">
        <v>102</v>
      </c>
      <c r="F120" s="309" t="s">
        <v>212</v>
      </c>
      <c r="G120" s="608">
        <v>45709</v>
      </c>
      <c r="H120" s="159">
        <v>1</v>
      </c>
      <c r="I120" s="160"/>
      <c r="J120" s="161"/>
    </row>
    <row r="121" spans="1:10">
      <c r="A121" s="428" t="s">
        <v>203</v>
      </c>
      <c r="B121" s="158" t="s">
        <v>102</v>
      </c>
      <c r="C121" s="309" t="s">
        <v>99</v>
      </c>
      <c r="D121" s="309" t="s">
        <v>210</v>
      </c>
      <c r="E121" s="309" t="s">
        <v>102</v>
      </c>
      <c r="F121" s="309" t="s">
        <v>212</v>
      </c>
      <c r="G121" s="608">
        <v>45712</v>
      </c>
      <c r="H121" s="159">
        <v>1</v>
      </c>
      <c r="I121" s="160"/>
      <c r="J121" s="161"/>
    </row>
    <row r="122" spans="1:10">
      <c r="A122" s="428" t="s">
        <v>203</v>
      </c>
      <c r="B122" s="158" t="s">
        <v>102</v>
      </c>
      <c r="C122" s="309" t="s">
        <v>99</v>
      </c>
      <c r="D122" s="309" t="s">
        <v>210</v>
      </c>
      <c r="E122" s="309" t="s">
        <v>102</v>
      </c>
      <c r="F122" s="309" t="s">
        <v>212</v>
      </c>
      <c r="G122" s="608">
        <v>45713</v>
      </c>
      <c r="H122" s="159">
        <v>1</v>
      </c>
      <c r="I122" s="160"/>
      <c r="J122" s="161"/>
    </row>
    <row r="123" spans="1:10">
      <c r="A123" s="136" t="s">
        <v>144</v>
      </c>
      <c r="B123" s="158" t="s">
        <v>102</v>
      </c>
      <c r="C123" s="309" t="s">
        <v>99</v>
      </c>
      <c r="D123" s="309" t="s">
        <v>210</v>
      </c>
      <c r="E123" s="309" t="s">
        <v>102</v>
      </c>
      <c r="F123" s="309" t="s">
        <v>212</v>
      </c>
      <c r="G123" s="608">
        <v>45686</v>
      </c>
      <c r="H123" s="159">
        <v>1</v>
      </c>
      <c r="I123" s="160"/>
      <c r="J123" s="161"/>
    </row>
    <row r="124" spans="1:10">
      <c r="A124" s="136" t="s">
        <v>144</v>
      </c>
      <c r="B124" s="158" t="s">
        <v>102</v>
      </c>
      <c r="C124" s="309" t="s">
        <v>99</v>
      </c>
      <c r="D124" s="309" t="s">
        <v>210</v>
      </c>
      <c r="E124" s="309" t="s">
        <v>102</v>
      </c>
      <c r="F124" s="309" t="s">
        <v>212</v>
      </c>
      <c r="G124" s="608">
        <v>45687</v>
      </c>
      <c r="H124" s="159">
        <v>1</v>
      </c>
      <c r="I124" s="160"/>
      <c r="J124" s="161"/>
    </row>
    <row r="125" spans="1:10">
      <c r="A125" s="138" t="s">
        <v>152</v>
      </c>
      <c r="B125" s="158" t="s">
        <v>102</v>
      </c>
      <c r="C125" s="309" t="s">
        <v>99</v>
      </c>
      <c r="D125" s="309" t="s">
        <v>210</v>
      </c>
      <c r="E125" s="309" t="s">
        <v>102</v>
      </c>
      <c r="F125" s="309" t="s">
        <v>212</v>
      </c>
      <c r="G125" s="608">
        <v>45688</v>
      </c>
      <c r="H125" s="159">
        <v>1</v>
      </c>
      <c r="I125" s="160"/>
      <c r="J125" s="161"/>
    </row>
    <row r="126" spans="1:10">
      <c r="A126" s="138" t="s">
        <v>152</v>
      </c>
      <c r="B126" s="158" t="s">
        <v>102</v>
      </c>
      <c r="C126" s="309" t="s">
        <v>99</v>
      </c>
      <c r="D126" s="309" t="s">
        <v>210</v>
      </c>
      <c r="E126" s="309" t="s">
        <v>102</v>
      </c>
      <c r="F126" s="309" t="s">
        <v>212</v>
      </c>
      <c r="G126" s="608">
        <v>45691</v>
      </c>
      <c r="H126" s="159">
        <v>1</v>
      </c>
      <c r="I126" s="160"/>
      <c r="J126" s="161"/>
    </row>
    <row r="127" spans="1:10">
      <c r="A127" s="411" t="s">
        <v>162</v>
      </c>
      <c r="B127" s="158" t="s">
        <v>102</v>
      </c>
      <c r="C127" s="309" t="s">
        <v>99</v>
      </c>
      <c r="D127" s="309" t="s">
        <v>210</v>
      </c>
      <c r="E127" s="309" t="s">
        <v>102</v>
      </c>
      <c r="F127" s="309" t="s">
        <v>212</v>
      </c>
      <c r="G127" s="608">
        <v>45692</v>
      </c>
      <c r="H127" s="159">
        <v>1</v>
      </c>
      <c r="I127" s="160"/>
      <c r="J127" s="161"/>
    </row>
    <row r="128" spans="1:10">
      <c r="A128" s="411" t="s">
        <v>162</v>
      </c>
      <c r="B128" s="158" t="s">
        <v>102</v>
      </c>
      <c r="C128" s="309" t="s">
        <v>99</v>
      </c>
      <c r="D128" s="309" t="s">
        <v>210</v>
      </c>
      <c r="E128" s="309" t="s">
        <v>102</v>
      </c>
      <c r="F128" s="309" t="s">
        <v>212</v>
      </c>
      <c r="G128" s="608">
        <v>45693</v>
      </c>
      <c r="H128" s="159">
        <v>1</v>
      </c>
      <c r="I128" s="160"/>
      <c r="J128" s="161"/>
    </row>
    <row r="129" spans="1:10">
      <c r="A129" s="414" t="s">
        <v>169</v>
      </c>
      <c r="B129" s="158" t="s">
        <v>102</v>
      </c>
      <c r="C129" s="309" t="s">
        <v>99</v>
      </c>
      <c r="D129" s="309" t="s">
        <v>210</v>
      </c>
      <c r="E129" s="309" t="s">
        <v>102</v>
      </c>
      <c r="F129" s="309" t="s">
        <v>212</v>
      </c>
      <c r="G129" s="608">
        <v>45694</v>
      </c>
      <c r="H129" s="159">
        <v>1</v>
      </c>
      <c r="I129" s="160"/>
      <c r="J129" s="161"/>
    </row>
    <row r="130" spans="1:10">
      <c r="A130" s="414" t="s">
        <v>169</v>
      </c>
      <c r="B130" s="158" t="s">
        <v>102</v>
      </c>
      <c r="C130" s="309" t="s">
        <v>99</v>
      </c>
      <c r="D130" s="309" t="s">
        <v>210</v>
      </c>
      <c r="E130" s="309" t="s">
        <v>102</v>
      </c>
      <c r="F130" s="309" t="s">
        <v>212</v>
      </c>
      <c r="G130" s="608">
        <v>45695</v>
      </c>
      <c r="H130" s="159">
        <v>1</v>
      </c>
      <c r="I130" s="160"/>
      <c r="J130" s="161"/>
    </row>
    <row r="131" spans="1:10">
      <c r="A131" s="417" t="s">
        <v>175</v>
      </c>
      <c r="B131" s="158" t="s">
        <v>102</v>
      </c>
      <c r="C131" s="309" t="s">
        <v>99</v>
      </c>
      <c r="D131" s="309" t="s">
        <v>210</v>
      </c>
      <c r="E131" s="309" t="s">
        <v>102</v>
      </c>
      <c r="F131" s="309" t="s">
        <v>212</v>
      </c>
      <c r="G131" s="608">
        <v>45698</v>
      </c>
      <c r="H131" s="159">
        <v>1</v>
      </c>
      <c r="I131" s="160"/>
      <c r="J131" s="161"/>
    </row>
    <row r="132" spans="1:10">
      <c r="A132" s="417" t="s">
        <v>175</v>
      </c>
      <c r="B132" s="158" t="s">
        <v>102</v>
      </c>
      <c r="C132" s="309" t="s">
        <v>99</v>
      </c>
      <c r="D132" s="309" t="s">
        <v>210</v>
      </c>
      <c r="E132" s="309" t="s">
        <v>102</v>
      </c>
      <c r="F132" s="309" t="s">
        <v>212</v>
      </c>
      <c r="G132" s="608">
        <v>45699</v>
      </c>
      <c r="H132" s="159">
        <v>1</v>
      </c>
      <c r="I132" s="160"/>
      <c r="J132" s="161"/>
    </row>
    <row r="133" spans="1:10">
      <c r="A133" s="420" t="s">
        <v>181</v>
      </c>
      <c r="B133" s="158" t="s">
        <v>102</v>
      </c>
      <c r="C133" s="309" t="s">
        <v>99</v>
      </c>
      <c r="D133" s="309" t="s">
        <v>210</v>
      </c>
      <c r="E133" s="309" t="s">
        <v>102</v>
      </c>
      <c r="F133" s="309" t="s">
        <v>212</v>
      </c>
      <c r="G133" s="608">
        <v>45700</v>
      </c>
      <c r="H133" s="159">
        <v>1</v>
      </c>
      <c r="I133" s="160"/>
      <c r="J133" s="161"/>
    </row>
    <row r="134" spans="1:10">
      <c r="A134" s="420" t="s">
        <v>181</v>
      </c>
      <c r="B134" s="158" t="s">
        <v>102</v>
      </c>
      <c r="C134" s="309" t="s">
        <v>99</v>
      </c>
      <c r="D134" s="309" t="s">
        <v>210</v>
      </c>
      <c r="E134" s="309" t="s">
        <v>102</v>
      </c>
      <c r="F134" s="309" t="s">
        <v>212</v>
      </c>
      <c r="G134" s="608">
        <v>45701</v>
      </c>
      <c r="H134" s="159">
        <v>1</v>
      </c>
      <c r="I134" s="160"/>
      <c r="J134" s="161"/>
    </row>
    <row r="135" spans="1:10">
      <c r="A135" s="421" t="s">
        <v>183</v>
      </c>
      <c r="B135" s="158" t="s">
        <v>102</v>
      </c>
      <c r="C135" s="309" t="s">
        <v>99</v>
      </c>
      <c r="D135" s="309" t="s">
        <v>210</v>
      </c>
      <c r="E135" s="309" t="s">
        <v>102</v>
      </c>
      <c r="F135" s="309" t="s">
        <v>212</v>
      </c>
      <c r="G135" s="608">
        <v>45702</v>
      </c>
      <c r="H135" s="159">
        <v>1</v>
      </c>
      <c r="I135" s="160"/>
      <c r="J135" s="161"/>
    </row>
    <row r="136" spans="1:10">
      <c r="A136" s="421" t="s">
        <v>183</v>
      </c>
      <c r="B136" s="158" t="s">
        <v>102</v>
      </c>
      <c r="C136" s="309" t="s">
        <v>99</v>
      </c>
      <c r="D136" s="309" t="s">
        <v>210</v>
      </c>
      <c r="E136" s="309" t="s">
        <v>102</v>
      </c>
      <c r="F136" s="309" t="s">
        <v>212</v>
      </c>
      <c r="G136" s="608">
        <v>45705</v>
      </c>
      <c r="H136" s="159">
        <v>1</v>
      </c>
      <c r="I136" s="160"/>
      <c r="J136" s="161"/>
    </row>
    <row r="137" spans="1:10">
      <c r="A137" s="425" t="s">
        <v>195</v>
      </c>
      <c r="B137" s="158" t="s">
        <v>102</v>
      </c>
      <c r="C137" s="309" t="s">
        <v>99</v>
      </c>
      <c r="D137" s="309" t="s">
        <v>210</v>
      </c>
      <c r="E137" s="309" t="s">
        <v>102</v>
      </c>
      <c r="F137" s="309" t="s">
        <v>212</v>
      </c>
      <c r="G137" s="608">
        <v>45706</v>
      </c>
      <c r="H137" s="159">
        <v>1</v>
      </c>
      <c r="I137" s="160"/>
      <c r="J137" s="161"/>
    </row>
    <row r="138" spans="1:10">
      <c r="A138" s="425" t="s">
        <v>195</v>
      </c>
      <c r="B138" s="158" t="s">
        <v>102</v>
      </c>
      <c r="C138" s="309" t="s">
        <v>99</v>
      </c>
      <c r="D138" s="309" t="s">
        <v>210</v>
      </c>
      <c r="E138" s="309" t="s">
        <v>102</v>
      </c>
      <c r="F138" s="309" t="s">
        <v>212</v>
      </c>
      <c r="G138" s="608">
        <v>45707</v>
      </c>
      <c r="H138" s="159">
        <v>1</v>
      </c>
      <c r="I138" s="160"/>
      <c r="J138" s="161"/>
    </row>
    <row r="139" spans="1:10">
      <c r="A139" s="427" t="s">
        <v>201</v>
      </c>
      <c r="B139" s="158" t="s">
        <v>102</v>
      </c>
      <c r="C139" s="309" t="s">
        <v>99</v>
      </c>
      <c r="D139" s="309" t="s">
        <v>210</v>
      </c>
      <c r="E139" s="309" t="s">
        <v>102</v>
      </c>
      <c r="F139" s="309" t="s">
        <v>212</v>
      </c>
      <c r="G139" s="608">
        <v>45708</v>
      </c>
      <c r="H139" s="159">
        <v>1</v>
      </c>
      <c r="I139" s="160"/>
      <c r="J139" s="161"/>
    </row>
    <row r="140" spans="1:10">
      <c r="A140" s="427" t="s">
        <v>201</v>
      </c>
      <c r="B140" s="158" t="s">
        <v>102</v>
      </c>
      <c r="C140" s="309" t="s">
        <v>99</v>
      </c>
      <c r="D140" s="309" t="s">
        <v>210</v>
      </c>
      <c r="E140" s="309" t="s">
        <v>102</v>
      </c>
      <c r="F140" s="309" t="s">
        <v>212</v>
      </c>
      <c r="G140" s="608">
        <v>45709</v>
      </c>
      <c r="H140" s="159">
        <v>1</v>
      </c>
      <c r="I140" s="160"/>
      <c r="J140" s="161"/>
    </row>
    <row r="141" spans="1:10">
      <c r="A141" s="428" t="s">
        <v>203</v>
      </c>
      <c r="B141" s="158" t="s">
        <v>102</v>
      </c>
      <c r="C141" s="309" t="s">
        <v>99</v>
      </c>
      <c r="D141" s="309" t="s">
        <v>210</v>
      </c>
      <c r="E141" s="309" t="s">
        <v>102</v>
      </c>
      <c r="F141" s="309" t="s">
        <v>212</v>
      </c>
      <c r="G141" s="608">
        <v>45712</v>
      </c>
      <c r="H141" s="159">
        <v>1</v>
      </c>
      <c r="I141" s="160"/>
      <c r="J141" s="161"/>
    </row>
    <row r="142" spans="1:10">
      <c r="A142" s="428" t="s">
        <v>203</v>
      </c>
      <c r="B142" s="158" t="s">
        <v>102</v>
      </c>
      <c r="C142" s="309" t="s">
        <v>99</v>
      </c>
      <c r="D142" s="309" t="s">
        <v>210</v>
      </c>
      <c r="E142" s="309" t="s">
        <v>102</v>
      </c>
      <c r="F142" s="309" t="s">
        <v>212</v>
      </c>
      <c r="G142" s="608">
        <v>45713</v>
      </c>
      <c r="H142" s="159">
        <v>1</v>
      </c>
      <c r="I142" s="160"/>
      <c r="J142" s="161"/>
    </row>
    <row r="143" spans="1:10">
      <c r="A143" s="135" t="s">
        <v>139</v>
      </c>
      <c r="B143" s="158" t="s">
        <v>102</v>
      </c>
      <c r="C143" s="309" t="s">
        <v>99</v>
      </c>
      <c r="D143" s="309" t="s">
        <v>210</v>
      </c>
      <c r="E143" s="309" t="s">
        <v>102</v>
      </c>
      <c r="F143" s="309" t="s">
        <v>213</v>
      </c>
      <c r="G143" s="608">
        <v>45686</v>
      </c>
      <c r="H143" s="159">
        <v>1</v>
      </c>
      <c r="I143" s="160"/>
      <c r="J143" s="161"/>
    </row>
    <row r="144" spans="1:10">
      <c r="A144" s="135" t="s">
        <v>139</v>
      </c>
      <c r="B144" s="158" t="s">
        <v>102</v>
      </c>
      <c r="C144" s="309" t="s">
        <v>99</v>
      </c>
      <c r="D144" s="309" t="s">
        <v>210</v>
      </c>
      <c r="E144" s="309" t="s">
        <v>102</v>
      </c>
      <c r="F144" s="309" t="s">
        <v>213</v>
      </c>
      <c r="G144" s="608">
        <v>45687</v>
      </c>
      <c r="H144" s="159">
        <v>1</v>
      </c>
      <c r="I144" s="160"/>
      <c r="J144" s="161"/>
    </row>
    <row r="145" spans="1:10">
      <c r="A145" s="134" t="s">
        <v>149</v>
      </c>
      <c r="B145" s="158" t="s">
        <v>102</v>
      </c>
      <c r="C145" s="309" t="s">
        <v>99</v>
      </c>
      <c r="D145" s="309" t="s">
        <v>210</v>
      </c>
      <c r="E145" s="309" t="s">
        <v>102</v>
      </c>
      <c r="F145" s="309" t="s">
        <v>213</v>
      </c>
      <c r="G145" s="608">
        <v>45688</v>
      </c>
      <c r="H145" s="159">
        <v>1</v>
      </c>
      <c r="I145" s="160"/>
      <c r="J145" s="161"/>
    </row>
    <row r="146" spans="1:10">
      <c r="A146" s="134" t="s">
        <v>149</v>
      </c>
      <c r="B146" s="158" t="s">
        <v>102</v>
      </c>
      <c r="C146" s="309" t="s">
        <v>99</v>
      </c>
      <c r="D146" s="309" t="s">
        <v>210</v>
      </c>
      <c r="E146" s="309" t="s">
        <v>102</v>
      </c>
      <c r="F146" s="309" t="s">
        <v>213</v>
      </c>
      <c r="G146" s="608">
        <v>45691</v>
      </c>
      <c r="H146" s="159">
        <v>1</v>
      </c>
      <c r="I146" s="160"/>
      <c r="J146" s="161"/>
    </row>
    <row r="147" spans="1:10">
      <c r="A147" s="409" t="s">
        <v>157</v>
      </c>
      <c r="B147" s="158" t="s">
        <v>102</v>
      </c>
      <c r="C147" s="309" t="s">
        <v>99</v>
      </c>
      <c r="D147" s="309" t="s">
        <v>210</v>
      </c>
      <c r="E147" s="309" t="s">
        <v>102</v>
      </c>
      <c r="F147" s="309" t="s">
        <v>213</v>
      </c>
      <c r="G147" s="608">
        <v>45692</v>
      </c>
      <c r="H147" s="159">
        <v>1</v>
      </c>
      <c r="I147" s="160"/>
      <c r="J147" s="161"/>
    </row>
    <row r="148" spans="1:10">
      <c r="A148" s="409" t="s">
        <v>157</v>
      </c>
      <c r="B148" s="158" t="s">
        <v>102</v>
      </c>
      <c r="C148" s="309" t="s">
        <v>99</v>
      </c>
      <c r="D148" s="309" t="s">
        <v>210</v>
      </c>
      <c r="E148" s="309" t="s">
        <v>102</v>
      </c>
      <c r="F148" s="309" t="s">
        <v>213</v>
      </c>
      <c r="G148" s="608">
        <v>45693</v>
      </c>
      <c r="H148" s="159">
        <v>1</v>
      </c>
      <c r="I148" s="160"/>
      <c r="J148" s="161"/>
    </row>
    <row r="149" spans="1:10">
      <c r="A149" s="413" t="s">
        <v>167</v>
      </c>
      <c r="B149" s="158" t="s">
        <v>102</v>
      </c>
      <c r="C149" s="309" t="s">
        <v>99</v>
      </c>
      <c r="D149" s="309" t="s">
        <v>210</v>
      </c>
      <c r="E149" s="309" t="s">
        <v>102</v>
      </c>
      <c r="F149" s="309" t="s">
        <v>213</v>
      </c>
      <c r="G149" s="608">
        <v>45694</v>
      </c>
      <c r="H149" s="159">
        <v>1</v>
      </c>
      <c r="I149" s="160"/>
      <c r="J149" s="161"/>
    </row>
    <row r="150" spans="1:10">
      <c r="A150" s="413" t="s">
        <v>167</v>
      </c>
      <c r="B150" s="158" t="s">
        <v>102</v>
      </c>
      <c r="C150" s="309" t="s">
        <v>99</v>
      </c>
      <c r="D150" s="309" t="s">
        <v>210</v>
      </c>
      <c r="E150" s="309" t="s">
        <v>102</v>
      </c>
      <c r="F150" s="309" t="s">
        <v>213</v>
      </c>
      <c r="G150" s="608">
        <v>45695</v>
      </c>
      <c r="H150" s="159">
        <v>1</v>
      </c>
      <c r="I150" s="160"/>
      <c r="J150" s="161"/>
    </row>
    <row r="151" spans="1:10">
      <c r="A151" s="415" t="s">
        <v>171</v>
      </c>
      <c r="B151" s="158" t="s">
        <v>102</v>
      </c>
      <c r="C151" s="309" t="s">
        <v>99</v>
      </c>
      <c r="D151" s="309" t="s">
        <v>210</v>
      </c>
      <c r="E151" s="309" t="s">
        <v>102</v>
      </c>
      <c r="F151" s="309" t="s">
        <v>213</v>
      </c>
      <c r="G151" s="608">
        <v>45698</v>
      </c>
      <c r="H151" s="159">
        <v>1</v>
      </c>
      <c r="I151" s="160"/>
      <c r="J151" s="161"/>
    </row>
    <row r="152" spans="1:10">
      <c r="A152" s="415" t="s">
        <v>171</v>
      </c>
      <c r="B152" s="158" t="s">
        <v>102</v>
      </c>
      <c r="C152" s="309" t="s">
        <v>99</v>
      </c>
      <c r="D152" s="309" t="s">
        <v>210</v>
      </c>
      <c r="E152" s="309" t="s">
        <v>102</v>
      </c>
      <c r="F152" s="309" t="s">
        <v>213</v>
      </c>
      <c r="G152" s="608">
        <v>45699</v>
      </c>
      <c r="H152" s="159">
        <v>1</v>
      </c>
      <c r="I152" s="160"/>
      <c r="J152" s="161"/>
    </row>
    <row r="153" spans="1:10">
      <c r="A153" s="419" t="s">
        <v>179</v>
      </c>
      <c r="B153" s="158" t="s">
        <v>102</v>
      </c>
      <c r="C153" s="309" t="s">
        <v>99</v>
      </c>
      <c r="D153" s="309" t="s">
        <v>210</v>
      </c>
      <c r="E153" s="309" t="s">
        <v>102</v>
      </c>
      <c r="F153" s="309" t="s">
        <v>213</v>
      </c>
      <c r="G153" s="608">
        <v>45700</v>
      </c>
      <c r="H153" s="159">
        <v>1</v>
      </c>
      <c r="I153" s="160"/>
      <c r="J153" s="161"/>
    </row>
    <row r="154" spans="1:10">
      <c r="A154" s="419" t="s">
        <v>179</v>
      </c>
      <c r="B154" s="158" t="s">
        <v>102</v>
      </c>
      <c r="C154" s="309" t="s">
        <v>99</v>
      </c>
      <c r="D154" s="309" t="s">
        <v>210</v>
      </c>
      <c r="E154" s="309" t="s">
        <v>102</v>
      </c>
      <c r="F154" s="309" t="s">
        <v>213</v>
      </c>
      <c r="G154" s="608">
        <v>45701</v>
      </c>
      <c r="H154" s="159">
        <v>1</v>
      </c>
      <c r="I154" s="160"/>
      <c r="J154" s="161"/>
    </row>
    <row r="155" spans="1:10">
      <c r="A155" s="118" t="s">
        <v>187</v>
      </c>
      <c r="B155" s="158" t="s">
        <v>102</v>
      </c>
      <c r="C155" s="309" t="s">
        <v>99</v>
      </c>
      <c r="D155" s="309" t="s">
        <v>210</v>
      </c>
      <c r="E155" s="309" t="s">
        <v>102</v>
      </c>
      <c r="F155" s="309" t="s">
        <v>213</v>
      </c>
      <c r="G155" s="608">
        <v>45702</v>
      </c>
      <c r="H155" s="159">
        <v>1</v>
      </c>
      <c r="I155" s="160"/>
      <c r="J155" s="161"/>
    </row>
    <row r="156" spans="1:10">
      <c r="A156" s="118" t="s">
        <v>187</v>
      </c>
      <c r="B156" s="158" t="s">
        <v>102</v>
      </c>
      <c r="C156" s="309" t="s">
        <v>99</v>
      </c>
      <c r="D156" s="309" t="s">
        <v>210</v>
      </c>
      <c r="E156" s="309" t="s">
        <v>102</v>
      </c>
      <c r="F156" s="309" t="s">
        <v>213</v>
      </c>
      <c r="G156" s="608">
        <v>45705</v>
      </c>
      <c r="H156" s="159">
        <v>1</v>
      </c>
      <c r="I156" s="160"/>
      <c r="J156" s="161"/>
    </row>
    <row r="157" spans="1:10">
      <c r="A157" s="424" t="s">
        <v>192</v>
      </c>
      <c r="B157" s="158" t="s">
        <v>102</v>
      </c>
      <c r="C157" s="309" t="s">
        <v>99</v>
      </c>
      <c r="D157" s="309" t="s">
        <v>210</v>
      </c>
      <c r="E157" s="309" t="s">
        <v>102</v>
      </c>
      <c r="F157" s="309" t="s">
        <v>213</v>
      </c>
      <c r="G157" s="608">
        <v>45706</v>
      </c>
      <c r="H157" s="159">
        <v>1</v>
      </c>
      <c r="I157" s="160"/>
      <c r="J157" s="161"/>
    </row>
    <row r="158" spans="1:10">
      <c r="A158" s="424" t="s">
        <v>192</v>
      </c>
      <c r="B158" s="158" t="s">
        <v>102</v>
      </c>
      <c r="C158" s="309" t="s">
        <v>99</v>
      </c>
      <c r="D158" s="309" t="s">
        <v>210</v>
      </c>
      <c r="E158" s="309" t="s">
        <v>102</v>
      </c>
      <c r="F158" s="309" t="s">
        <v>213</v>
      </c>
      <c r="G158" s="608">
        <v>45707</v>
      </c>
      <c r="H158" s="159">
        <v>1</v>
      </c>
      <c r="I158" s="160"/>
      <c r="J158" s="161"/>
    </row>
    <row r="159" spans="1:10">
      <c r="A159" s="134" t="s">
        <v>197</v>
      </c>
      <c r="B159" s="158" t="s">
        <v>102</v>
      </c>
      <c r="C159" s="309" t="s">
        <v>99</v>
      </c>
      <c r="D159" s="309" t="s">
        <v>210</v>
      </c>
      <c r="E159" s="309" t="s">
        <v>102</v>
      </c>
      <c r="F159" s="309" t="s">
        <v>213</v>
      </c>
      <c r="G159" s="608">
        <v>45708</v>
      </c>
      <c r="H159" s="159">
        <v>1</v>
      </c>
      <c r="I159" s="160"/>
      <c r="J159" s="161"/>
    </row>
    <row r="160" spans="1:10">
      <c r="A160" s="134" t="s">
        <v>197</v>
      </c>
      <c r="B160" s="158" t="s">
        <v>102</v>
      </c>
      <c r="C160" s="309" t="s">
        <v>99</v>
      </c>
      <c r="D160" s="309" t="s">
        <v>210</v>
      </c>
      <c r="E160" s="309" t="s">
        <v>102</v>
      </c>
      <c r="F160" s="309" t="s">
        <v>213</v>
      </c>
      <c r="G160" s="608">
        <v>45709</v>
      </c>
      <c r="H160" s="159">
        <v>1</v>
      </c>
      <c r="I160" s="160"/>
      <c r="J160" s="161"/>
    </row>
    <row r="161" spans="1:10">
      <c r="A161" s="429" t="s">
        <v>205</v>
      </c>
      <c r="B161" s="158" t="s">
        <v>102</v>
      </c>
      <c r="C161" s="309" t="s">
        <v>99</v>
      </c>
      <c r="D161" s="309" t="s">
        <v>210</v>
      </c>
      <c r="E161" s="309" t="s">
        <v>102</v>
      </c>
      <c r="F161" s="309" t="s">
        <v>213</v>
      </c>
      <c r="G161" s="608">
        <v>45712</v>
      </c>
      <c r="H161" s="159">
        <v>1</v>
      </c>
      <c r="I161" s="160"/>
      <c r="J161" s="161"/>
    </row>
    <row r="162" spans="1:10">
      <c r="A162" s="429" t="s">
        <v>205</v>
      </c>
      <c r="B162" s="158" t="s">
        <v>102</v>
      </c>
      <c r="C162" s="309" t="s">
        <v>99</v>
      </c>
      <c r="D162" s="309" t="s">
        <v>210</v>
      </c>
      <c r="E162" s="309" t="s">
        <v>102</v>
      </c>
      <c r="F162" s="309" t="s">
        <v>213</v>
      </c>
      <c r="G162" s="608">
        <v>45713</v>
      </c>
      <c r="H162" s="159">
        <v>1</v>
      </c>
      <c r="I162" s="160"/>
      <c r="J162" s="161"/>
    </row>
    <row r="163" spans="1:10">
      <c r="A163" s="135" t="s">
        <v>139</v>
      </c>
      <c r="B163" s="158" t="s">
        <v>102</v>
      </c>
      <c r="C163" s="309" t="s">
        <v>99</v>
      </c>
      <c r="D163" s="309" t="s">
        <v>210</v>
      </c>
      <c r="E163" s="309" t="s">
        <v>102</v>
      </c>
      <c r="F163" s="309" t="s">
        <v>213</v>
      </c>
      <c r="G163" s="608">
        <v>45686</v>
      </c>
      <c r="H163" s="159">
        <v>1</v>
      </c>
      <c r="I163" s="160"/>
      <c r="J163" s="161"/>
    </row>
    <row r="164" spans="1:10">
      <c r="A164" s="135" t="s">
        <v>139</v>
      </c>
      <c r="B164" s="158" t="s">
        <v>102</v>
      </c>
      <c r="C164" s="309" t="s">
        <v>99</v>
      </c>
      <c r="D164" s="309" t="s">
        <v>210</v>
      </c>
      <c r="E164" s="309" t="s">
        <v>102</v>
      </c>
      <c r="F164" s="309" t="s">
        <v>213</v>
      </c>
      <c r="G164" s="608">
        <v>45687</v>
      </c>
      <c r="H164" s="159">
        <v>1</v>
      </c>
      <c r="I164" s="160"/>
      <c r="J164" s="161"/>
    </row>
    <row r="165" spans="1:10">
      <c r="A165" s="134" t="s">
        <v>149</v>
      </c>
      <c r="B165" s="158" t="s">
        <v>102</v>
      </c>
      <c r="C165" s="309" t="s">
        <v>99</v>
      </c>
      <c r="D165" s="309" t="s">
        <v>210</v>
      </c>
      <c r="E165" s="309" t="s">
        <v>102</v>
      </c>
      <c r="F165" s="309" t="s">
        <v>213</v>
      </c>
      <c r="G165" s="608">
        <v>45688</v>
      </c>
      <c r="H165" s="159">
        <v>1</v>
      </c>
      <c r="I165" s="160"/>
      <c r="J165" s="161"/>
    </row>
    <row r="166" spans="1:10">
      <c r="A166" s="134" t="s">
        <v>149</v>
      </c>
      <c r="B166" s="158" t="s">
        <v>102</v>
      </c>
      <c r="C166" s="309" t="s">
        <v>99</v>
      </c>
      <c r="D166" s="309" t="s">
        <v>210</v>
      </c>
      <c r="E166" s="309" t="s">
        <v>102</v>
      </c>
      <c r="F166" s="309" t="s">
        <v>213</v>
      </c>
      <c r="G166" s="608">
        <v>45691</v>
      </c>
      <c r="H166" s="159">
        <v>1</v>
      </c>
      <c r="I166" s="160"/>
      <c r="J166" s="161"/>
    </row>
    <row r="167" spans="1:10">
      <c r="A167" s="409" t="s">
        <v>157</v>
      </c>
      <c r="B167" s="158" t="s">
        <v>102</v>
      </c>
      <c r="C167" s="309" t="s">
        <v>99</v>
      </c>
      <c r="D167" s="309" t="s">
        <v>210</v>
      </c>
      <c r="E167" s="309" t="s">
        <v>102</v>
      </c>
      <c r="F167" s="309" t="s">
        <v>213</v>
      </c>
      <c r="G167" s="608">
        <v>45692</v>
      </c>
      <c r="H167" s="159">
        <v>1</v>
      </c>
      <c r="I167" s="160"/>
      <c r="J167" s="161"/>
    </row>
    <row r="168" spans="1:10">
      <c r="A168" s="409" t="s">
        <v>157</v>
      </c>
      <c r="B168" s="158" t="s">
        <v>102</v>
      </c>
      <c r="C168" s="309" t="s">
        <v>99</v>
      </c>
      <c r="D168" s="309" t="s">
        <v>210</v>
      </c>
      <c r="E168" s="309" t="s">
        <v>102</v>
      </c>
      <c r="F168" s="309" t="s">
        <v>213</v>
      </c>
      <c r="G168" s="608">
        <v>45693</v>
      </c>
      <c r="H168" s="159">
        <v>1</v>
      </c>
      <c r="I168" s="160"/>
      <c r="J168" s="161"/>
    </row>
    <row r="169" spans="1:10">
      <c r="A169" s="413" t="s">
        <v>167</v>
      </c>
      <c r="B169" s="158" t="s">
        <v>102</v>
      </c>
      <c r="C169" s="309" t="s">
        <v>99</v>
      </c>
      <c r="D169" s="309" t="s">
        <v>210</v>
      </c>
      <c r="E169" s="309" t="s">
        <v>102</v>
      </c>
      <c r="F169" s="309" t="s">
        <v>213</v>
      </c>
      <c r="G169" s="608">
        <v>45694</v>
      </c>
      <c r="H169" s="159">
        <v>1</v>
      </c>
      <c r="I169" s="160"/>
      <c r="J169" s="161"/>
    </row>
    <row r="170" spans="1:10">
      <c r="A170" s="413" t="s">
        <v>167</v>
      </c>
      <c r="B170" s="158" t="s">
        <v>102</v>
      </c>
      <c r="C170" s="309" t="s">
        <v>99</v>
      </c>
      <c r="D170" s="309" t="s">
        <v>210</v>
      </c>
      <c r="E170" s="309" t="s">
        <v>102</v>
      </c>
      <c r="F170" s="309" t="s">
        <v>213</v>
      </c>
      <c r="G170" s="608">
        <v>45695</v>
      </c>
      <c r="H170" s="159">
        <v>1</v>
      </c>
      <c r="I170" s="160"/>
      <c r="J170" s="161"/>
    </row>
    <row r="171" spans="1:10">
      <c r="A171" s="415" t="s">
        <v>171</v>
      </c>
      <c r="B171" s="158" t="s">
        <v>102</v>
      </c>
      <c r="C171" s="309" t="s">
        <v>99</v>
      </c>
      <c r="D171" s="309" t="s">
        <v>210</v>
      </c>
      <c r="E171" s="309" t="s">
        <v>102</v>
      </c>
      <c r="F171" s="309" t="s">
        <v>213</v>
      </c>
      <c r="G171" s="608">
        <v>45698</v>
      </c>
      <c r="H171" s="159">
        <v>1</v>
      </c>
      <c r="I171" s="160"/>
      <c r="J171" s="161"/>
    </row>
    <row r="172" spans="1:10">
      <c r="A172" s="415" t="s">
        <v>171</v>
      </c>
      <c r="B172" s="158" t="s">
        <v>102</v>
      </c>
      <c r="C172" s="309" t="s">
        <v>99</v>
      </c>
      <c r="D172" s="309" t="s">
        <v>210</v>
      </c>
      <c r="E172" s="309" t="s">
        <v>102</v>
      </c>
      <c r="F172" s="309" t="s">
        <v>213</v>
      </c>
      <c r="G172" s="608">
        <v>45699</v>
      </c>
      <c r="H172" s="159">
        <v>1</v>
      </c>
      <c r="I172" s="160"/>
      <c r="J172" s="161"/>
    </row>
    <row r="173" spans="1:10">
      <c r="A173" s="419" t="s">
        <v>179</v>
      </c>
      <c r="B173" s="158" t="s">
        <v>102</v>
      </c>
      <c r="C173" s="309" t="s">
        <v>99</v>
      </c>
      <c r="D173" s="309" t="s">
        <v>210</v>
      </c>
      <c r="E173" s="309" t="s">
        <v>102</v>
      </c>
      <c r="F173" s="309" t="s">
        <v>213</v>
      </c>
      <c r="G173" s="608">
        <v>45700</v>
      </c>
      <c r="H173" s="159">
        <v>1</v>
      </c>
      <c r="I173" s="160"/>
      <c r="J173" s="161"/>
    </row>
    <row r="174" spans="1:10">
      <c r="A174" s="419" t="s">
        <v>179</v>
      </c>
      <c r="B174" s="158" t="s">
        <v>102</v>
      </c>
      <c r="C174" s="309" t="s">
        <v>99</v>
      </c>
      <c r="D174" s="309" t="s">
        <v>210</v>
      </c>
      <c r="E174" s="309" t="s">
        <v>102</v>
      </c>
      <c r="F174" s="309" t="s">
        <v>213</v>
      </c>
      <c r="G174" s="608">
        <v>45701</v>
      </c>
      <c r="H174" s="159">
        <v>1</v>
      </c>
      <c r="I174" s="160"/>
      <c r="J174" s="161"/>
    </row>
    <row r="175" spans="1:10">
      <c r="A175" s="118" t="s">
        <v>187</v>
      </c>
      <c r="B175" s="158" t="s">
        <v>102</v>
      </c>
      <c r="C175" s="309" t="s">
        <v>99</v>
      </c>
      <c r="D175" s="309" t="s">
        <v>210</v>
      </c>
      <c r="E175" s="309" t="s">
        <v>102</v>
      </c>
      <c r="F175" s="309" t="s">
        <v>213</v>
      </c>
      <c r="G175" s="608">
        <v>45702</v>
      </c>
      <c r="H175" s="159">
        <v>1</v>
      </c>
      <c r="I175" s="160"/>
      <c r="J175" s="161"/>
    </row>
    <row r="176" spans="1:10">
      <c r="A176" s="118" t="s">
        <v>187</v>
      </c>
      <c r="B176" s="158" t="s">
        <v>102</v>
      </c>
      <c r="C176" s="309" t="s">
        <v>99</v>
      </c>
      <c r="D176" s="309" t="s">
        <v>210</v>
      </c>
      <c r="E176" s="309" t="s">
        <v>102</v>
      </c>
      <c r="F176" s="309" t="s">
        <v>213</v>
      </c>
      <c r="G176" s="608">
        <v>45705</v>
      </c>
      <c r="H176" s="159">
        <v>1</v>
      </c>
      <c r="I176" s="160"/>
      <c r="J176" s="161"/>
    </row>
    <row r="177" spans="1:10">
      <c r="A177" s="424" t="s">
        <v>192</v>
      </c>
      <c r="B177" s="158" t="s">
        <v>102</v>
      </c>
      <c r="C177" s="309" t="s">
        <v>99</v>
      </c>
      <c r="D177" s="309" t="s">
        <v>210</v>
      </c>
      <c r="E177" s="309" t="s">
        <v>102</v>
      </c>
      <c r="F177" s="309" t="s">
        <v>213</v>
      </c>
      <c r="G177" s="608">
        <v>45706</v>
      </c>
      <c r="H177" s="159">
        <v>1</v>
      </c>
      <c r="I177" s="160"/>
      <c r="J177" s="161"/>
    </row>
    <row r="178" spans="1:10">
      <c r="A178" s="424" t="s">
        <v>192</v>
      </c>
      <c r="B178" s="158" t="s">
        <v>102</v>
      </c>
      <c r="C178" s="309" t="s">
        <v>99</v>
      </c>
      <c r="D178" s="309" t="s">
        <v>210</v>
      </c>
      <c r="E178" s="309" t="s">
        <v>102</v>
      </c>
      <c r="F178" s="309" t="s">
        <v>213</v>
      </c>
      <c r="G178" s="608">
        <v>45707</v>
      </c>
      <c r="H178" s="159">
        <v>1</v>
      </c>
      <c r="I178" s="160"/>
      <c r="J178" s="161"/>
    </row>
    <row r="179" spans="1:10">
      <c r="A179" s="134" t="s">
        <v>197</v>
      </c>
      <c r="B179" s="158" t="s">
        <v>102</v>
      </c>
      <c r="C179" s="309" t="s">
        <v>99</v>
      </c>
      <c r="D179" s="309" t="s">
        <v>210</v>
      </c>
      <c r="E179" s="309" t="s">
        <v>102</v>
      </c>
      <c r="F179" s="309" t="s">
        <v>213</v>
      </c>
      <c r="G179" s="608">
        <v>45708</v>
      </c>
      <c r="H179" s="159">
        <v>1</v>
      </c>
      <c r="I179" s="160"/>
      <c r="J179" s="161"/>
    </row>
    <row r="180" spans="1:10">
      <c r="A180" s="134" t="s">
        <v>197</v>
      </c>
      <c r="B180" s="158" t="s">
        <v>102</v>
      </c>
      <c r="C180" s="309" t="s">
        <v>99</v>
      </c>
      <c r="D180" s="309" t="s">
        <v>210</v>
      </c>
      <c r="E180" s="309" t="s">
        <v>102</v>
      </c>
      <c r="F180" s="309" t="s">
        <v>213</v>
      </c>
      <c r="G180" s="608">
        <v>45709</v>
      </c>
      <c r="H180" s="159">
        <v>1</v>
      </c>
      <c r="I180" s="160"/>
      <c r="J180" s="161"/>
    </row>
    <row r="181" spans="1:10">
      <c r="A181" s="429" t="s">
        <v>205</v>
      </c>
      <c r="B181" s="158" t="s">
        <v>102</v>
      </c>
      <c r="C181" s="309" t="s">
        <v>99</v>
      </c>
      <c r="D181" s="309" t="s">
        <v>210</v>
      </c>
      <c r="E181" s="309" t="s">
        <v>102</v>
      </c>
      <c r="F181" s="309" t="s">
        <v>213</v>
      </c>
      <c r="G181" s="608">
        <v>45712</v>
      </c>
      <c r="H181" s="159">
        <v>1</v>
      </c>
      <c r="I181" s="160"/>
      <c r="J181" s="161"/>
    </row>
    <row r="182" spans="1:10">
      <c r="A182" s="429" t="s">
        <v>205</v>
      </c>
      <c r="B182" s="158" t="s">
        <v>102</v>
      </c>
      <c r="C182" s="309" t="s">
        <v>99</v>
      </c>
      <c r="D182" s="309" t="s">
        <v>210</v>
      </c>
      <c r="E182" s="309" t="s">
        <v>102</v>
      </c>
      <c r="F182" s="309" t="s">
        <v>213</v>
      </c>
      <c r="G182" s="608">
        <v>45713</v>
      </c>
      <c r="H182" s="159">
        <v>1</v>
      </c>
      <c r="I182" s="160"/>
      <c r="J182" s="161"/>
    </row>
    <row r="183" spans="1:10">
      <c r="A183" s="134" t="s">
        <v>149</v>
      </c>
      <c r="B183" s="158" t="s">
        <v>39</v>
      </c>
      <c r="C183" s="309" t="s">
        <v>99</v>
      </c>
      <c r="D183" s="309" t="s">
        <v>214</v>
      </c>
      <c r="E183" s="309" t="s">
        <v>214</v>
      </c>
      <c r="F183" s="309" t="s">
        <v>215</v>
      </c>
      <c r="G183" s="608">
        <v>45692</v>
      </c>
      <c r="H183" s="159">
        <v>1</v>
      </c>
      <c r="I183" s="160"/>
      <c r="J183" s="161"/>
    </row>
    <row r="184" spans="1:10">
      <c r="A184" s="134" t="s">
        <v>149</v>
      </c>
      <c r="B184" s="158" t="s">
        <v>39</v>
      </c>
      <c r="C184" s="309" t="s">
        <v>99</v>
      </c>
      <c r="D184" s="309" t="s">
        <v>214</v>
      </c>
      <c r="E184" s="309" t="s">
        <v>214</v>
      </c>
      <c r="F184" s="309" t="s">
        <v>215</v>
      </c>
      <c r="G184" s="608">
        <v>45693</v>
      </c>
      <c r="H184" s="159">
        <v>1</v>
      </c>
      <c r="I184" s="160"/>
      <c r="J184" s="161"/>
    </row>
    <row r="185" spans="1:10">
      <c r="A185" s="134" t="s">
        <v>149</v>
      </c>
      <c r="B185" s="158" t="s">
        <v>39</v>
      </c>
      <c r="C185" s="309" t="s">
        <v>99</v>
      </c>
      <c r="D185" s="309" t="s">
        <v>214</v>
      </c>
      <c r="E185" s="309" t="s">
        <v>214</v>
      </c>
      <c r="F185" s="309" t="s">
        <v>215</v>
      </c>
      <c r="G185" s="608">
        <v>45694</v>
      </c>
      <c r="H185" s="159">
        <v>1</v>
      </c>
      <c r="I185" s="160"/>
      <c r="J185" s="161"/>
    </row>
    <row r="186" spans="1:10">
      <c r="A186" s="134" t="s">
        <v>149</v>
      </c>
      <c r="B186" s="158" t="s">
        <v>39</v>
      </c>
      <c r="C186" s="309" t="s">
        <v>99</v>
      </c>
      <c r="D186" s="309" t="s">
        <v>214</v>
      </c>
      <c r="E186" s="309" t="s">
        <v>214</v>
      </c>
      <c r="F186" s="309" t="s">
        <v>215</v>
      </c>
      <c r="G186" s="608">
        <v>45695</v>
      </c>
      <c r="H186" s="159">
        <v>1</v>
      </c>
      <c r="I186" s="160"/>
      <c r="J186" s="161"/>
    </row>
    <row r="187" spans="1:10">
      <c r="A187" s="134" t="s">
        <v>149</v>
      </c>
      <c r="B187" s="158" t="s">
        <v>39</v>
      </c>
      <c r="C187" s="309" t="s">
        <v>99</v>
      </c>
      <c r="D187" s="309" t="s">
        <v>214</v>
      </c>
      <c r="E187" s="309" t="s">
        <v>214</v>
      </c>
      <c r="F187" s="309" t="s">
        <v>215</v>
      </c>
      <c r="G187" s="608">
        <v>45698</v>
      </c>
      <c r="H187" s="159">
        <v>1</v>
      </c>
      <c r="I187" s="160"/>
      <c r="J187" s="161"/>
    </row>
    <row r="188" spans="1:10">
      <c r="A188" s="416" t="s">
        <v>173</v>
      </c>
      <c r="B188" s="158" t="s">
        <v>39</v>
      </c>
      <c r="C188" s="309" t="s">
        <v>99</v>
      </c>
      <c r="D188" s="309" t="s">
        <v>214</v>
      </c>
      <c r="E188" s="309" t="s">
        <v>214</v>
      </c>
      <c r="F188" s="309" t="s">
        <v>215</v>
      </c>
      <c r="G188" s="608">
        <v>45700</v>
      </c>
      <c r="H188" s="159">
        <v>1</v>
      </c>
      <c r="I188" s="160"/>
      <c r="J188" s="161"/>
    </row>
    <row r="189" spans="1:10">
      <c r="A189" s="416" t="s">
        <v>173</v>
      </c>
      <c r="B189" s="158" t="s">
        <v>39</v>
      </c>
      <c r="C189" s="309" t="s">
        <v>99</v>
      </c>
      <c r="D189" s="309" t="s">
        <v>214</v>
      </c>
      <c r="E189" s="309" t="s">
        <v>214</v>
      </c>
      <c r="F189" s="309" t="s">
        <v>215</v>
      </c>
      <c r="G189" s="608">
        <v>45701</v>
      </c>
      <c r="H189" s="159">
        <v>1</v>
      </c>
      <c r="I189" s="160"/>
      <c r="J189" s="161"/>
    </row>
    <row r="190" spans="1:10">
      <c r="A190" s="416" t="s">
        <v>173</v>
      </c>
      <c r="B190" s="158" t="s">
        <v>39</v>
      </c>
      <c r="C190" s="309" t="s">
        <v>99</v>
      </c>
      <c r="D190" s="309" t="s">
        <v>214</v>
      </c>
      <c r="E190" s="309" t="s">
        <v>214</v>
      </c>
      <c r="F190" s="309" t="s">
        <v>215</v>
      </c>
      <c r="G190" s="608">
        <v>45702</v>
      </c>
      <c r="H190" s="159">
        <v>1</v>
      </c>
      <c r="I190" s="160"/>
      <c r="J190" s="161"/>
    </row>
    <row r="191" spans="1:10">
      <c r="A191" s="416" t="s">
        <v>173</v>
      </c>
      <c r="B191" s="158" t="s">
        <v>39</v>
      </c>
      <c r="C191" s="309" t="s">
        <v>99</v>
      </c>
      <c r="D191" s="309" t="s">
        <v>214</v>
      </c>
      <c r="E191" s="309" t="s">
        <v>214</v>
      </c>
      <c r="F191" s="309" t="s">
        <v>215</v>
      </c>
      <c r="G191" s="608">
        <v>45705</v>
      </c>
      <c r="H191" s="159">
        <v>1</v>
      </c>
      <c r="I191" s="160"/>
      <c r="J191" s="161"/>
    </row>
    <row r="192" spans="1:10">
      <c r="A192" s="424" t="s">
        <v>192</v>
      </c>
      <c r="B192" s="158" t="s">
        <v>39</v>
      </c>
      <c r="C192" s="309" t="s">
        <v>99</v>
      </c>
      <c r="D192" s="309" t="s">
        <v>214</v>
      </c>
      <c r="E192" s="309" t="s">
        <v>214</v>
      </c>
      <c r="F192" s="309" t="s">
        <v>215</v>
      </c>
      <c r="G192" s="608">
        <v>45708</v>
      </c>
      <c r="H192" s="159">
        <v>1</v>
      </c>
      <c r="I192" s="160"/>
      <c r="J192" s="161"/>
    </row>
    <row r="193" spans="1:10">
      <c r="A193" s="424" t="s">
        <v>192</v>
      </c>
      <c r="B193" s="158" t="s">
        <v>39</v>
      </c>
      <c r="C193" s="309" t="s">
        <v>99</v>
      </c>
      <c r="D193" s="309" t="s">
        <v>214</v>
      </c>
      <c r="E193" s="309" t="s">
        <v>214</v>
      </c>
      <c r="F193" s="309" t="s">
        <v>215</v>
      </c>
      <c r="G193" s="608">
        <v>45709</v>
      </c>
      <c r="H193" s="159">
        <v>1</v>
      </c>
      <c r="I193" s="160"/>
      <c r="J193" s="161"/>
    </row>
    <row r="194" spans="1:10">
      <c r="A194" s="424" t="s">
        <v>192</v>
      </c>
      <c r="B194" s="158" t="s">
        <v>39</v>
      </c>
      <c r="C194" s="309" t="s">
        <v>99</v>
      </c>
      <c r="D194" s="309" t="s">
        <v>214</v>
      </c>
      <c r="E194" s="309" t="s">
        <v>214</v>
      </c>
      <c r="F194" s="309" t="s">
        <v>215</v>
      </c>
      <c r="G194" s="608">
        <v>45712</v>
      </c>
      <c r="H194" s="159">
        <v>1</v>
      </c>
      <c r="I194" s="160"/>
      <c r="J194" s="161"/>
    </row>
    <row r="195" spans="1:10">
      <c r="A195" s="424" t="s">
        <v>192</v>
      </c>
      <c r="B195" s="158" t="s">
        <v>39</v>
      </c>
      <c r="C195" s="309" t="s">
        <v>99</v>
      </c>
      <c r="D195" s="309" t="s">
        <v>214</v>
      </c>
      <c r="E195" s="309" t="s">
        <v>214</v>
      </c>
      <c r="F195" s="309" t="s">
        <v>215</v>
      </c>
      <c r="G195" s="608">
        <v>45713</v>
      </c>
      <c r="H195" s="159">
        <v>1</v>
      </c>
      <c r="I195" s="160"/>
      <c r="J195" s="161"/>
    </row>
    <row r="196" spans="1:10">
      <c r="A196" s="424" t="s">
        <v>192</v>
      </c>
      <c r="B196" s="158" t="s">
        <v>39</v>
      </c>
      <c r="C196" s="309" t="s">
        <v>99</v>
      </c>
      <c r="D196" s="309" t="s">
        <v>214</v>
      </c>
      <c r="E196" s="309" t="s">
        <v>214</v>
      </c>
      <c r="F196" s="309" t="s">
        <v>215</v>
      </c>
      <c r="G196" s="608">
        <v>45714</v>
      </c>
      <c r="H196" s="159">
        <v>1</v>
      </c>
      <c r="I196" s="160"/>
      <c r="J196" s="161"/>
    </row>
    <row r="197" spans="1:10">
      <c r="A197" s="134" t="s">
        <v>149</v>
      </c>
      <c r="B197" s="158" t="s">
        <v>39</v>
      </c>
      <c r="C197" s="309" t="s">
        <v>99</v>
      </c>
      <c r="D197" s="309" t="s">
        <v>214</v>
      </c>
      <c r="E197" s="309" t="s">
        <v>214</v>
      </c>
      <c r="F197" s="309" t="s">
        <v>215</v>
      </c>
      <c r="G197" s="608">
        <v>45692</v>
      </c>
      <c r="H197" s="159">
        <v>1</v>
      </c>
      <c r="I197" s="160"/>
      <c r="J197" s="161"/>
    </row>
    <row r="198" spans="1:10">
      <c r="A198" s="134" t="s">
        <v>149</v>
      </c>
      <c r="B198" s="158" t="s">
        <v>39</v>
      </c>
      <c r="C198" s="309" t="s">
        <v>99</v>
      </c>
      <c r="D198" s="309" t="s">
        <v>214</v>
      </c>
      <c r="E198" s="309" t="s">
        <v>214</v>
      </c>
      <c r="F198" s="309" t="s">
        <v>215</v>
      </c>
      <c r="G198" s="608">
        <v>45693</v>
      </c>
      <c r="H198" s="159">
        <v>1</v>
      </c>
      <c r="I198" s="160"/>
      <c r="J198" s="161"/>
    </row>
    <row r="199" spans="1:10">
      <c r="A199" s="134" t="s">
        <v>149</v>
      </c>
      <c r="B199" s="158" t="s">
        <v>39</v>
      </c>
      <c r="C199" s="309" t="s">
        <v>99</v>
      </c>
      <c r="D199" s="309" t="s">
        <v>214</v>
      </c>
      <c r="E199" s="309" t="s">
        <v>214</v>
      </c>
      <c r="F199" s="309" t="s">
        <v>215</v>
      </c>
      <c r="G199" s="608">
        <v>45694</v>
      </c>
      <c r="H199" s="159">
        <v>1</v>
      </c>
      <c r="I199" s="160"/>
      <c r="J199" s="161"/>
    </row>
    <row r="200" spans="1:10">
      <c r="A200" s="134" t="s">
        <v>149</v>
      </c>
      <c r="B200" s="158" t="s">
        <v>39</v>
      </c>
      <c r="C200" s="309" t="s">
        <v>99</v>
      </c>
      <c r="D200" s="309" t="s">
        <v>214</v>
      </c>
      <c r="E200" s="309" t="s">
        <v>214</v>
      </c>
      <c r="F200" s="309" t="s">
        <v>215</v>
      </c>
      <c r="G200" s="608">
        <v>45695</v>
      </c>
      <c r="H200" s="159">
        <v>1</v>
      </c>
      <c r="I200" s="160"/>
      <c r="J200" s="161"/>
    </row>
    <row r="201" spans="1:10">
      <c r="A201" s="134" t="s">
        <v>149</v>
      </c>
      <c r="B201" s="158" t="s">
        <v>39</v>
      </c>
      <c r="C201" s="309" t="s">
        <v>99</v>
      </c>
      <c r="D201" s="309" t="s">
        <v>214</v>
      </c>
      <c r="E201" s="309" t="s">
        <v>214</v>
      </c>
      <c r="F201" s="309" t="s">
        <v>215</v>
      </c>
      <c r="G201" s="608">
        <v>45698</v>
      </c>
      <c r="H201" s="159">
        <v>1</v>
      </c>
      <c r="I201" s="160"/>
      <c r="J201" s="161"/>
    </row>
    <row r="202" spans="1:10">
      <c r="A202" s="416" t="s">
        <v>173</v>
      </c>
      <c r="B202" s="158" t="s">
        <v>39</v>
      </c>
      <c r="C202" s="309" t="s">
        <v>99</v>
      </c>
      <c r="D202" s="309" t="s">
        <v>214</v>
      </c>
      <c r="E202" s="309" t="s">
        <v>214</v>
      </c>
      <c r="F202" s="309" t="s">
        <v>215</v>
      </c>
      <c r="G202" s="608">
        <v>45700</v>
      </c>
      <c r="H202" s="159">
        <v>1</v>
      </c>
      <c r="I202" s="160"/>
      <c r="J202" s="161"/>
    </row>
    <row r="203" spans="1:10">
      <c r="A203" s="416" t="s">
        <v>173</v>
      </c>
      <c r="B203" s="158" t="s">
        <v>39</v>
      </c>
      <c r="C203" s="309" t="s">
        <v>99</v>
      </c>
      <c r="D203" s="309" t="s">
        <v>214</v>
      </c>
      <c r="E203" s="309" t="s">
        <v>214</v>
      </c>
      <c r="F203" s="309" t="s">
        <v>215</v>
      </c>
      <c r="G203" s="608">
        <v>45701</v>
      </c>
      <c r="H203" s="159">
        <v>1</v>
      </c>
      <c r="I203" s="160"/>
      <c r="J203" s="161"/>
    </row>
    <row r="204" spans="1:10">
      <c r="A204" s="416" t="s">
        <v>173</v>
      </c>
      <c r="B204" s="158" t="s">
        <v>39</v>
      </c>
      <c r="C204" s="309" t="s">
        <v>99</v>
      </c>
      <c r="D204" s="309" t="s">
        <v>214</v>
      </c>
      <c r="E204" s="309" t="s">
        <v>214</v>
      </c>
      <c r="F204" s="309" t="s">
        <v>215</v>
      </c>
      <c r="G204" s="608">
        <v>45702</v>
      </c>
      <c r="H204" s="159">
        <v>1</v>
      </c>
      <c r="I204" s="160"/>
      <c r="J204" s="161"/>
    </row>
    <row r="205" spans="1:10">
      <c r="A205" s="416" t="s">
        <v>173</v>
      </c>
      <c r="B205" s="158" t="s">
        <v>39</v>
      </c>
      <c r="C205" s="309" t="s">
        <v>99</v>
      </c>
      <c r="D205" s="309" t="s">
        <v>214</v>
      </c>
      <c r="E205" s="309" t="s">
        <v>214</v>
      </c>
      <c r="F205" s="309" t="s">
        <v>215</v>
      </c>
      <c r="G205" s="608">
        <v>45705</v>
      </c>
      <c r="H205" s="159">
        <v>1</v>
      </c>
      <c r="I205" s="160"/>
      <c r="J205" s="161"/>
    </row>
    <row r="206" spans="1:10">
      <c r="A206" s="424" t="s">
        <v>192</v>
      </c>
      <c r="B206" s="158" t="s">
        <v>39</v>
      </c>
      <c r="C206" s="309" t="s">
        <v>99</v>
      </c>
      <c r="D206" s="309" t="s">
        <v>214</v>
      </c>
      <c r="E206" s="309" t="s">
        <v>214</v>
      </c>
      <c r="F206" s="309" t="s">
        <v>215</v>
      </c>
      <c r="G206" s="608">
        <v>45708</v>
      </c>
      <c r="H206" s="159">
        <v>1</v>
      </c>
      <c r="I206" s="160"/>
      <c r="J206" s="161"/>
    </row>
    <row r="207" spans="1:10">
      <c r="A207" s="424" t="s">
        <v>192</v>
      </c>
      <c r="B207" s="158" t="s">
        <v>39</v>
      </c>
      <c r="C207" s="309" t="s">
        <v>99</v>
      </c>
      <c r="D207" s="309" t="s">
        <v>214</v>
      </c>
      <c r="E207" s="309" t="s">
        <v>214</v>
      </c>
      <c r="F207" s="309" t="s">
        <v>215</v>
      </c>
      <c r="G207" s="608">
        <v>45709</v>
      </c>
      <c r="H207" s="159">
        <v>1</v>
      </c>
      <c r="I207" s="160"/>
      <c r="J207" s="161"/>
    </row>
    <row r="208" spans="1:10">
      <c r="A208" s="424" t="s">
        <v>192</v>
      </c>
      <c r="B208" s="158" t="s">
        <v>39</v>
      </c>
      <c r="C208" s="309" t="s">
        <v>99</v>
      </c>
      <c r="D208" s="309" t="s">
        <v>214</v>
      </c>
      <c r="E208" s="309" t="s">
        <v>214</v>
      </c>
      <c r="F208" s="309" t="s">
        <v>215</v>
      </c>
      <c r="G208" s="608">
        <v>45712</v>
      </c>
      <c r="H208" s="159">
        <v>1</v>
      </c>
      <c r="I208" s="160"/>
      <c r="J208" s="161"/>
    </row>
    <row r="209" spans="1:10">
      <c r="A209" s="424" t="s">
        <v>192</v>
      </c>
      <c r="B209" s="158" t="s">
        <v>39</v>
      </c>
      <c r="C209" s="309" t="s">
        <v>99</v>
      </c>
      <c r="D209" s="309" t="s">
        <v>214</v>
      </c>
      <c r="E209" s="309" t="s">
        <v>214</v>
      </c>
      <c r="F209" s="309" t="s">
        <v>215</v>
      </c>
      <c r="G209" s="608">
        <v>45713</v>
      </c>
      <c r="H209" s="159">
        <v>1</v>
      </c>
      <c r="I209" s="160"/>
      <c r="J209" s="161"/>
    </row>
    <row r="210" spans="1:10">
      <c r="A210" s="424" t="s">
        <v>192</v>
      </c>
      <c r="B210" s="158" t="s">
        <v>39</v>
      </c>
      <c r="C210" s="309" t="s">
        <v>99</v>
      </c>
      <c r="D210" s="309" t="s">
        <v>214</v>
      </c>
      <c r="E210" s="309" t="s">
        <v>214</v>
      </c>
      <c r="F210" s="309" t="s">
        <v>215</v>
      </c>
      <c r="G210" s="608">
        <v>45714</v>
      </c>
      <c r="H210" s="159">
        <v>1</v>
      </c>
      <c r="I210" s="160"/>
      <c r="J210" s="161"/>
    </row>
    <row r="211" spans="1:10">
      <c r="A211" s="138" t="s">
        <v>152</v>
      </c>
      <c r="B211" s="158" t="s">
        <v>39</v>
      </c>
      <c r="C211" s="309" t="s">
        <v>99</v>
      </c>
      <c r="D211" s="309" t="s">
        <v>214</v>
      </c>
      <c r="E211" s="309" t="s">
        <v>214</v>
      </c>
      <c r="F211" s="309" t="s">
        <v>216</v>
      </c>
      <c r="G211" s="608">
        <v>45692</v>
      </c>
      <c r="H211" s="159">
        <v>1</v>
      </c>
      <c r="I211" s="160"/>
      <c r="J211" s="161"/>
    </row>
    <row r="212" spans="1:10">
      <c r="A212" s="138" t="s">
        <v>152</v>
      </c>
      <c r="B212" s="158" t="s">
        <v>39</v>
      </c>
      <c r="C212" s="309" t="s">
        <v>99</v>
      </c>
      <c r="D212" s="309" t="s">
        <v>214</v>
      </c>
      <c r="E212" s="309" t="s">
        <v>214</v>
      </c>
      <c r="F212" s="309" t="s">
        <v>216</v>
      </c>
      <c r="G212" s="608">
        <v>45693</v>
      </c>
      <c r="H212" s="159">
        <v>1</v>
      </c>
      <c r="I212" s="160"/>
      <c r="J212" s="161"/>
    </row>
    <row r="213" spans="1:10">
      <c r="A213" s="138" t="s">
        <v>152</v>
      </c>
      <c r="B213" s="158" t="s">
        <v>39</v>
      </c>
      <c r="C213" s="309" t="s">
        <v>99</v>
      </c>
      <c r="D213" s="309" t="s">
        <v>214</v>
      </c>
      <c r="E213" s="309" t="s">
        <v>214</v>
      </c>
      <c r="F213" s="309" t="s">
        <v>216</v>
      </c>
      <c r="G213" s="608">
        <v>45694</v>
      </c>
      <c r="H213" s="159">
        <v>1</v>
      </c>
      <c r="I213" s="160"/>
      <c r="J213" s="161"/>
    </row>
    <row r="214" spans="1:10">
      <c r="A214" s="138" t="s">
        <v>152</v>
      </c>
      <c r="B214" s="158" t="s">
        <v>39</v>
      </c>
      <c r="C214" s="309" t="s">
        <v>99</v>
      </c>
      <c r="D214" s="309" t="s">
        <v>214</v>
      </c>
      <c r="E214" s="309" t="s">
        <v>214</v>
      </c>
      <c r="F214" s="309" t="s">
        <v>216</v>
      </c>
      <c r="G214" s="608">
        <v>45695</v>
      </c>
      <c r="H214" s="159">
        <v>1</v>
      </c>
      <c r="I214" s="160"/>
      <c r="J214" s="161"/>
    </row>
    <row r="215" spans="1:10">
      <c r="A215" s="138" t="s">
        <v>152</v>
      </c>
      <c r="B215" s="158" t="s">
        <v>39</v>
      </c>
      <c r="C215" s="309" t="s">
        <v>99</v>
      </c>
      <c r="D215" s="309" t="s">
        <v>214</v>
      </c>
      <c r="E215" s="309" t="s">
        <v>214</v>
      </c>
      <c r="F215" s="309" t="s">
        <v>216</v>
      </c>
      <c r="G215" s="608">
        <v>45698</v>
      </c>
      <c r="H215" s="159">
        <v>1</v>
      </c>
      <c r="I215" s="160"/>
      <c r="J215" s="161"/>
    </row>
    <row r="216" spans="1:10">
      <c r="A216" s="415" t="s">
        <v>171</v>
      </c>
      <c r="B216" s="158" t="s">
        <v>39</v>
      </c>
      <c r="C216" s="309" t="s">
        <v>99</v>
      </c>
      <c r="D216" s="309" t="s">
        <v>214</v>
      </c>
      <c r="E216" s="309" t="s">
        <v>214</v>
      </c>
      <c r="F216" s="309" t="s">
        <v>216</v>
      </c>
      <c r="G216" s="608">
        <v>45700</v>
      </c>
      <c r="H216" s="159">
        <v>1</v>
      </c>
      <c r="I216" s="160"/>
      <c r="J216" s="161"/>
    </row>
    <row r="217" spans="1:10">
      <c r="A217" s="415" t="s">
        <v>171</v>
      </c>
      <c r="B217" s="158" t="s">
        <v>39</v>
      </c>
      <c r="C217" s="309" t="s">
        <v>99</v>
      </c>
      <c r="D217" s="309" t="s">
        <v>214</v>
      </c>
      <c r="E217" s="309" t="s">
        <v>214</v>
      </c>
      <c r="F217" s="309" t="s">
        <v>216</v>
      </c>
      <c r="G217" s="608">
        <v>45701</v>
      </c>
      <c r="H217" s="159">
        <v>1</v>
      </c>
      <c r="I217" s="160"/>
      <c r="J217" s="161"/>
    </row>
    <row r="218" spans="1:10">
      <c r="A218" s="415" t="s">
        <v>171</v>
      </c>
      <c r="B218" s="158" t="s">
        <v>39</v>
      </c>
      <c r="C218" s="309" t="s">
        <v>99</v>
      </c>
      <c r="D218" s="309" t="s">
        <v>214</v>
      </c>
      <c r="E218" s="309" t="s">
        <v>214</v>
      </c>
      <c r="F218" s="309" t="s">
        <v>216</v>
      </c>
      <c r="G218" s="608">
        <v>45702</v>
      </c>
      <c r="H218" s="159">
        <v>1</v>
      </c>
      <c r="I218" s="160"/>
      <c r="J218" s="161"/>
    </row>
    <row r="219" spans="1:10">
      <c r="A219" s="415" t="s">
        <v>171</v>
      </c>
      <c r="B219" s="158" t="s">
        <v>39</v>
      </c>
      <c r="C219" s="309" t="s">
        <v>99</v>
      </c>
      <c r="D219" s="309" t="s">
        <v>214</v>
      </c>
      <c r="E219" s="309" t="s">
        <v>214</v>
      </c>
      <c r="F219" s="309" t="s">
        <v>216</v>
      </c>
      <c r="G219" s="608">
        <v>45705</v>
      </c>
      <c r="H219" s="159">
        <v>1</v>
      </c>
      <c r="I219" s="160"/>
      <c r="J219" s="161"/>
    </row>
    <row r="220" spans="1:10">
      <c r="A220" s="118" t="s">
        <v>187</v>
      </c>
      <c r="B220" s="158" t="s">
        <v>39</v>
      </c>
      <c r="C220" s="309" t="s">
        <v>99</v>
      </c>
      <c r="D220" s="309" t="s">
        <v>214</v>
      </c>
      <c r="E220" s="309" t="s">
        <v>214</v>
      </c>
      <c r="F220" s="309" t="s">
        <v>216</v>
      </c>
      <c r="G220" s="608">
        <v>45706</v>
      </c>
      <c r="H220" s="159">
        <v>1</v>
      </c>
      <c r="I220" s="160"/>
      <c r="J220" s="161"/>
    </row>
    <row r="221" spans="1:10">
      <c r="A221" s="425" t="s">
        <v>195</v>
      </c>
      <c r="B221" s="158" t="s">
        <v>39</v>
      </c>
      <c r="C221" s="309" t="s">
        <v>99</v>
      </c>
      <c r="D221" s="309" t="s">
        <v>214</v>
      </c>
      <c r="E221" s="309" t="s">
        <v>214</v>
      </c>
      <c r="F221" s="309" t="s">
        <v>216</v>
      </c>
      <c r="G221" s="608">
        <v>45708</v>
      </c>
      <c r="H221" s="159">
        <v>1</v>
      </c>
      <c r="I221" s="160"/>
      <c r="J221" s="161"/>
    </row>
    <row r="222" spans="1:10">
      <c r="A222" s="425" t="s">
        <v>195</v>
      </c>
      <c r="B222" s="158" t="s">
        <v>39</v>
      </c>
      <c r="C222" s="309" t="s">
        <v>99</v>
      </c>
      <c r="D222" s="309" t="s">
        <v>214</v>
      </c>
      <c r="E222" s="309" t="s">
        <v>214</v>
      </c>
      <c r="F222" s="309" t="s">
        <v>216</v>
      </c>
      <c r="G222" s="608">
        <v>45709</v>
      </c>
      <c r="H222" s="159">
        <v>1</v>
      </c>
      <c r="I222" s="160"/>
      <c r="J222" s="161"/>
    </row>
    <row r="223" spans="1:10">
      <c r="A223" s="425" t="s">
        <v>195</v>
      </c>
      <c r="B223" s="158" t="s">
        <v>39</v>
      </c>
      <c r="C223" s="309" t="s">
        <v>99</v>
      </c>
      <c r="D223" s="309" t="s">
        <v>214</v>
      </c>
      <c r="E223" s="309" t="s">
        <v>214</v>
      </c>
      <c r="F223" s="309" t="s">
        <v>216</v>
      </c>
      <c r="G223" s="608">
        <v>45712</v>
      </c>
      <c r="H223" s="159">
        <v>1</v>
      </c>
      <c r="I223" s="160"/>
      <c r="J223" s="161"/>
    </row>
    <row r="224" spans="1:10">
      <c r="A224" s="425" t="s">
        <v>195</v>
      </c>
      <c r="B224" s="158" t="s">
        <v>39</v>
      </c>
      <c r="C224" s="309" t="s">
        <v>99</v>
      </c>
      <c r="D224" s="309" t="s">
        <v>214</v>
      </c>
      <c r="E224" s="309" t="s">
        <v>214</v>
      </c>
      <c r="F224" s="309" t="s">
        <v>216</v>
      </c>
      <c r="G224" s="608">
        <v>45713</v>
      </c>
      <c r="H224" s="159">
        <v>1</v>
      </c>
      <c r="I224" s="160"/>
      <c r="J224" s="161"/>
    </row>
    <row r="225" spans="1:10">
      <c r="A225" s="118" t="s">
        <v>154</v>
      </c>
      <c r="B225" s="158" t="s">
        <v>39</v>
      </c>
      <c r="C225" s="309" t="s">
        <v>99</v>
      </c>
      <c r="D225" s="309" t="s">
        <v>214</v>
      </c>
      <c r="E225" s="309" t="s">
        <v>214</v>
      </c>
      <c r="F225" s="309" t="s">
        <v>216</v>
      </c>
      <c r="G225" s="608">
        <v>45714</v>
      </c>
      <c r="H225" s="159">
        <v>1</v>
      </c>
      <c r="I225" s="160"/>
      <c r="J225" s="161"/>
    </row>
    <row r="226" spans="1:10">
      <c r="A226" s="118" t="s">
        <v>154</v>
      </c>
      <c r="B226" s="158" t="s">
        <v>39</v>
      </c>
      <c r="C226" s="309" t="s">
        <v>99</v>
      </c>
      <c r="D226" s="309" t="s">
        <v>214</v>
      </c>
      <c r="E226" s="309" t="s">
        <v>214</v>
      </c>
      <c r="F226" s="309" t="s">
        <v>216</v>
      </c>
      <c r="G226" s="608">
        <v>45715</v>
      </c>
      <c r="H226" s="159">
        <v>1</v>
      </c>
      <c r="I226" s="160"/>
      <c r="J226" s="161"/>
    </row>
    <row r="227" spans="1:10">
      <c r="A227" s="118" t="s">
        <v>154</v>
      </c>
      <c r="B227" s="158" t="s">
        <v>39</v>
      </c>
      <c r="C227" s="309" t="s">
        <v>99</v>
      </c>
      <c r="D227" s="309" t="s">
        <v>214</v>
      </c>
      <c r="E227" s="309" t="s">
        <v>214</v>
      </c>
      <c r="F227" s="309" t="s">
        <v>216</v>
      </c>
      <c r="G227" s="608">
        <v>45716</v>
      </c>
      <c r="H227" s="159">
        <v>1</v>
      </c>
      <c r="I227" s="160"/>
      <c r="J227" s="161"/>
    </row>
    <row r="228" spans="1:10">
      <c r="A228" s="118" t="s">
        <v>154</v>
      </c>
      <c r="B228" s="158" t="s">
        <v>39</v>
      </c>
      <c r="C228" s="309" t="s">
        <v>99</v>
      </c>
      <c r="D228" s="309" t="s">
        <v>214</v>
      </c>
      <c r="E228" s="309" t="s">
        <v>214</v>
      </c>
      <c r="F228" s="309" t="s">
        <v>216</v>
      </c>
      <c r="G228" s="608">
        <v>45721</v>
      </c>
      <c r="H228" s="159">
        <v>1</v>
      </c>
      <c r="I228" s="160"/>
      <c r="J228" s="161"/>
    </row>
    <row r="229" spans="1:10">
      <c r="A229" s="118" t="s">
        <v>154</v>
      </c>
      <c r="B229" s="158" t="s">
        <v>39</v>
      </c>
      <c r="C229" s="309" t="s">
        <v>99</v>
      </c>
      <c r="D229" s="309" t="s">
        <v>214</v>
      </c>
      <c r="E229" s="309" t="s">
        <v>214</v>
      </c>
      <c r="F229" s="309" t="s">
        <v>216</v>
      </c>
      <c r="G229" s="608">
        <v>45722</v>
      </c>
      <c r="H229" s="159">
        <v>1</v>
      </c>
      <c r="I229" s="160"/>
      <c r="J229" s="161"/>
    </row>
    <row r="230" spans="1:10">
      <c r="A230" s="138" t="s">
        <v>152</v>
      </c>
      <c r="B230" s="158" t="s">
        <v>39</v>
      </c>
      <c r="C230" s="309" t="s">
        <v>99</v>
      </c>
      <c r="D230" s="309" t="s">
        <v>214</v>
      </c>
      <c r="E230" s="309" t="s">
        <v>214</v>
      </c>
      <c r="F230" s="309" t="s">
        <v>216</v>
      </c>
      <c r="G230" s="608">
        <v>45692</v>
      </c>
      <c r="H230" s="159">
        <v>1</v>
      </c>
      <c r="I230" s="160"/>
      <c r="J230" s="161"/>
    </row>
    <row r="231" spans="1:10">
      <c r="A231" s="138" t="s">
        <v>152</v>
      </c>
      <c r="B231" s="158" t="s">
        <v>39</v>
      </c>
      <c r="C231" s="309" t="s">
        <v>99</v>
      </c>
      <c r="D231" s="309" t="s">
        <v>214</v>
      </c>
      <c r="E231" s="309" t="s">
        <v>214</v>
      </c>
      <c r="F231" s="309" t="s">
        <v>216</v>
      </c>
      <c r="G231" s="608">
        <v>45693</v>
      </c>
      <c r="H231" s="159">
        <v>1</v>
      </c>
      <c r="I231" s="160"/>
      <c r="J231" s="161"/>
    </row>
    <row r="232" spans="1:10">
      <c r="A232" s="138" t="s">
        <v>152</v>
      </c>
      <c r="B232" s="158" t="s">
        <v>39</v>
      </c>
      <c r="C232" s="309" t="s">
        <v>99</v>
      </c>
      <c r="D232" s="309" t="s">
        <v>214</v>
      </c>
      <c r="E232" s="309" t="s">
        <v>214</v>
      </c>
      <c r="F232" s="309" t="s">
        <v>216</v>
      </c>
      <c r="G232" s="608">
        <v>45694</v>
      </c>
      <c r="H232" s="159">
        <v>1</v>
      </c>
      <c r="I232" s="160"/>
      <c r="J232" s="161"/>
    </row>
    <row r="233" spans="1:10">
      <c r="A233" s="138" t="s">
        <v>152</v>
      </c>
      <c r="B233" s="158" t="s">
        <v>39</v>
      </c>
      <c r="C233" s="309" t="s">
        <v>99</v>
      </c>
      <c r="D233" s="309" t="s">
        <v>214</v>
      </c>
      <c r="E233" s="309" t="s">
        <v>214</v>
      </c>
      <c r="F233" s="309" t="s">
        <v>216</v>
      </c>
      <c r="G233" s="608">
        <v>45695</v>
      </c>
      <c r="H233" s="159">
        <v>1</v>
      </c>
      <c r="I233" s="160"/>
      <c r="J233" s="161"/>
    </row>
    <row r="234" spans="1:10">
      <c r="A234" s="138" t="s">
        <v>152</v>
      </c>
      <c r="B234" s="158" t="s">
        <v>39</v>
      </c>
      <c r="C234" s="309" t="s">
        <v>99</v>
      </c>
      <c r="D234" s="309" t="s">
        <v>214</v>
      </c>
      <c r="E234" s="309" t="s">
        <v>214</v>
      </c>
      <c r="F234" s="309" t="s">
        <v>216</v>
      </c>
      <c r="G234" s="608">
        <v>45698</v>
      </c>
      <c r="H234" s="159">
        <v>1</v>
      </c>
      <c r="I234" s="160"/>
      <c r="J234" s="161"/>
    </row>
    <row r="235" spans="1:10">
      <c r="A235" s="415" t="s">
        <v>171</v>
      </c>
      <c r="B235" s="158" t="s">
        <v>39</v>
      </c>
      <c r="C235" s="309" t="s">
        <v>99</v>
      </c>
      <c r="D235" s="309" t="s">
        <v>214</v>
      </c>
      <c r="E235" s="309" t="s">
        <v>214</v>
      </c>
      <c r="F235" s="309" t="s">
        <v>216</v>
      </c>
      <c r="G235" s="608">
        <v>45700</v>
      </c>
      <c r="H235" s="159">
        <v>1</v>
      </c>
      <c r="I235" s="160"/>
      <c r="J235" s="161"/>
    </row>
    <row r="236" spans="1:10">
      <c r="A236" s="415" t="s">
        <v>171</v>
      </c>
      <c r="B236" s="158" t="s">
        <v>39</v>
      </c>
      <c r="C236" s="309" t="s">
        <v>99</v>
      </c>
      <c r="D236" s="309" t="s">
        <v>214</v>
      </c>
      <c r="E236" s="309" t="s">
        <v>214</v>
      </c>
      <c r="F236" s="309" t="s">
        <v>216</v>
      </c>
      <c r="G236" s="608">
        <v>45701</v>
      </c>
      <c r="H236" s="159">
        <v>1</v>
      </c>
      <c r="I236" s="160"/>
      <c r="J236" s="161"/>
    </row>
    <row r="237" spans="1:10">
      <c r="A237" s="415" t="s">
        <v>171</v>
      </c>
      <c r="B237" s="158" t="s">
        <v>39</v>
      </c>
      <c r="C237" s="309" t="s">
        <v>99</v>
      </c>
      <c r="D237" s="309" t="s">
        <v>214</v>
      </c>
      <c r="E237" s="309" t="s">
        <v>214</v>
      </c>
      <c r="F237" s="309" t="s">
        <v>216</v>
      </c>
      <c r="G237" s="608">
        <v>45702</v>
      </c>
      <c r="H237" s="159">
        <v>1</v>
      </c>
      <c r="I237" s="160"/>
      <c r="J237" s="161"/>
    </row>
    <row r="238" spans="1:10">
      <c r="A238" s="415" t="s">
        <v>171</v>
      </c>
      <c r="B238" s="158" t="s">
        <v>39</v>
      </c>
      <c r="C238" s="309" t="s">
        <v>99</v>
      </c>
      <c r="D238" s="309" t="s">
        <v>214</v>
      </c>
      <c r="E238" s="309" t="s">
        <v>214</v>
      </c>
      <c r="F238" s="309" t="s">
        <v>216</v>
      </c>
      <c r="G238" s="608">
        <v>45705</v>
      </c>
      <c r="H238" s="159">
        <v>1</v>
      </c>
      <c r="I238" s="160"/>
      <c r="J238" s="161"/>
    </row>
    <row r="239" spans="1:10">
      <c r="A239" s="118" t="s">
        <v>187</v>
      </c>
      <c r="B239" s="158" t="s">
        <v>39</v>
      </c>
      <c r="C239" s="309" t="s">
        <v>99</v>
      </c>
      <c r="D239" s="309" t="s">
        <v>214</v>
      </c>
      <c r="E239" s="309" t="s">
        <v>214</v>
      </c>
      <c r="F239" s="309" t="s">
        <v>216</v>
      </c>
      <c r="G239" s="608">
        <v>45706</v>
      </c>
      <c r="H239" s="159">
        <v>1</v>
      </c>
      <c r="I239" s="160"/>
      <c r="J239" s="161"/>
    </row>
    <row r="240" spans="1:10">
      <c r="A240" s="425" t="s">
        <v>195</v>
      </c>
      <c r="B240" s="158" t="s">
        <v>39</v>
      </c>
      <c r="C240" s="309" t="s">
        <v>99</v>
      </c>
      <c r="D240" s="309" t="s">
        <v>214</v>
      </c>
      <c r="E240" s="309" t="s">
        <v>214</v>
      </c>
      <c r="F240" s="309" t="s">
        <v>216</v>
      </c>
      <c r="G240" s="608">
        <v>45708</v>
      </c>
      <c r="H240" s="159">
        <v>1</v>
      </c>
      <c r="I240" s="160"/>
      <c r="J240" s="161"/>
    </row>
    <row r="241" spans="1:10">
      <c r="A241" s="425" t="s">
        <v>195</v>
      </c>
      <c r="B241" s="158" t="s">
        <v>39</v>
      </c>
      <c r="C241" s="309" t="s">
        <v>99</v>
      </c>
      <c r="D241" s="309" t="s">
        <v>214</v>
      </c>
      <c r="E241" s="309" t="s">
        <v>214</v>
      </c>
      <c r="F241" s="309" t="s">
        <v>216</v>
      </c>
      <c r="G241" s="608">
        <v>45709</v>
      </c>
      <c r="H241" s="159">
        <v>1</v>
      </c>
      <c r="I241" s="160"/>
      <c r="J241" s="161"/>
    </row>
    <row r="242" spans="1:10">
      <c r="A242" s="425" t="s">
        <v>195</v>
      </c>
      <c r="B242" s="158" t="s">
        <v>39</v>
      </c>
      <c r="C242" s="309" t="s">
        <v>99</v>
      </c>
      <c r="D242" s="309" t="s">
        <v>214</v>
      </c>
      <c r="E242" s="309" t="s">
        <v>214</v>
      </c>
      <c r="F242" s="309" t="s">
        <v>216</v>
      </c>
      <c r="G242" s="608">
        <v>45712</v>
      </c>
      <c r="H242" s="159">
        <v>1</v>
      </c>
      <c r="I242" s="160"/>
      <c r="J242" s="161"/>
    </row>
    <row r="243" spans="1:10">
      <c r="A243" s="425" t="s">
        <v>195</v>
      </c>
      <c r="B243" s="158" t="s">
        <v>39</v>
      </c>
      <c r="C243" s="309" t="s">
        <v>99</v>
      </c>
      <c r="D243" s="309" t="s">
        <v>214</v>
      </c>
      <c r="E243" s="309" t="s">
        <v>214</v>
      </c>
      <c r="F243" s="309" t="s">
        <v>216</v>
      </c>
      <c r="G243" s="608">
        <v>45713</v>
      </c>
      <c r="H243" s="159">
        <v>1</v>
      </c>
      <c r="I243" s="160"/>
      <c r="J243" s="161"/>
    </row>
    <row r="244" spans="1:10">
      <c r="A244" s="118" t="s">
        <v>154</v>
      </c>
      <c r="B244" s="158" t="s">
        <v>39</v>
      </c>
      <c r="C244" s="309" t="s">
        <v>99</v>
      </c>
      <c r="D244" s="309" t="s">
        <v>214</v>
      </c>
      <c r="E244" s="309" t="s">
        <v>214</v>
      </c>
      <c r="F244" s="309" t="s">
        <v>216</v>
      </c>
      <c r="G244" s="608">
        <v>45714</v>
      </c>
      <c r="H244" s="159">
        <v>1</v>
      </c>
      <c r="I244" s="160"/>
      <c r="J244" s="161"/>
    </row>
    <row r="245" spans="1:10">
      <c r="A245" s="118" t="s">
        <v>154</v>
      </c>
      <c r="B245" s="158" t="s">
        <v>39</v>
      </c>
      <c r="C245" s="309" t="s">
        <v>99</v>
      </c>
      <c r="D245" s="309" t="s">
        <v>214</v>
      </c>
      <c r="E245" s="309" t="s">
        <v>214</v>
      </c>
      <c r="F245" s="309" t="s">
        <v>216</v>
      </c>
      <c r="G245" s="608">
        <v>45715</v>
      </c>
      <c r="H245" s="159">
        <v>1</v>
      </c>
      <c r="I245" s="160"/>
      <c r="J245" s="161"/>
    </row>
    <row r="246" spans="1:10">
      <c r="A246" s="118" t="s">
        <v>154</v>
      </c>
      <c r="B246" s="158" t="s">
        <v>39</v>
      </c>
      <c r="C246" s="309" t="s">
        <v>99</v>
      </c>
      <c r="D246" s="309" t="s">
        <v>214</v>
      </c>
      <c r="E246" s="309" t="s">
        <v>214</v>
      </c>
      <c r="F246" s="309" t="s">
        <v>216</v>
      </c>
      <c r="G246" s="608">
        <v>45716</v>
      </c>
      <c r="H246" s="159">
        <v>1</v>
      </c>
      <c r="I246" s="160"/>
      <c r="J246" s="161"/>
    </row>
    <row r="247" spans="1:10">
      <c r="A247" s="118" t="s">
        <v>154</v>
      </c>
      <c r="B247" s="158" t="s">
        <v>39</v>
      </c>
      <c r="C247" s="309" t="s">
        <v>99</v>
      </c>
      <c r="D247" s="309" t="s">
        <v>214</v>
      </c>
      <c r="E247" s="309" t="s">
        <v>214</v>
      </c>
      <c r="F247" s="309" t="s">
        <v>216</v>
      </c>
      <c r="G247" s="608">
        <v>45721</v>
      </c>
      <c r="H247" s="159">
        <v>1</v>
      </c>
      <c r="I247" s="160"/>
      <c r="J247" s="161"/>
    </row>
    <row r="248" spans="1:10">
      <c r="A248" s="118" t="s">
        <v>154</v>
      </c>
      <c r="B248" s="158" t="s">
        <v>39</v>
      </c>
      <c r="C248" s="309" t="s">
        <v>99</v>
      </c>
      <c r="D248" s="309" t="s">
        <v>214</v>
      </c>
      <c r="E248" s="309" t="s">
        <v>214</v>
      </c>
      <c r="F248" s="309" t="s">
        <v>216</v>
      </c>
      <c r="G248" s="608">
        <v>45722</v>
      </c>
      <c r="H248" s="159">
        <v>1</v>
      </c>
      <c r="I248" s="160"/>
      <c r="J248" s="161"/>
    </row>
    <row r="249" spans="1:10">
      <c r="A249" s="136" t="s">
        <v>144</v>
      </c>
      <c r="B249" s="158" t="s">
        <v>39</v>
      </c>
      <c r="C249" s="309" t="s">
        <v>99</v>
      </c>
      <c r="D249" s="309" t="s">
        <v>214</v>
      </c>
      <c r="E249" s="309" t="s">
        <v>214</v>
      </c>
      <c r="F249" s="309" t="s">
        <v>217</v>
      </c>
      <c r="G249" s="608">
        <v>45688</v>
      </c>
      <c r="H249" s="159">
        <v>1</v>
      </c>
      <c r="I249" s="160"/>
      <c r="J249" s="161"/>
    </row>
    <row r="250" spans="1:10">
      <c r="A250" s="136" t="s">
        <v>144</v>
      </c>
      <c r="B250" s="158" t="s">
        <v>39</v>
      </c>
      <c r="C250" s="309" t="s">
        <v>99</v>
      </c>
      <c r="D250" s="309" t="s">
        <v>214</v>
      </c>
      <c r="E250" s="309" t="s">
        <v>214</v>
      </c>
      <c r="F250" s="309" t="s">
        <v>217</v>
      </c>
      <c r="G250" s="608">
        <v>45691</v>
      </c>
      <c r="H250" s="159">
        <v>1</v>
      </c>
      <c r="I250" s="160"/>
      <c r="J250" s="161"/>
    </row>
    <row r="251" spans="1:10">
      <c r="A251" s="136" t="s">
        <v>144</v>
      </c>
      <c r="B251" s="158" t="s">
        <v>39</v>
      </c>
      <c r="C251" s="309" t="s">
        <v>99</v>
      </c>
      <c r="D251" s="309" t="s">
        <v>214</v>
      </c>
      <c r="E251" s="309" t="s">
        <v>214</v>
      </c>
      <c r="F251" s="309" t="s">
        <v>217</v>
      </c>
      <c r="G251" s="608">
        <v>45692</v>
      </c>
      <c r="H251" s="159">
        <v>1</v>
      </c>
      <c r="I251" s="160"/>
      <c r="J251" s="161"/>
    </row>
    <row r="252" spans="1:10">
      <c r="A252" s="136" t="s">
        <v>144</v>
      </c>
      <c r="B252" s="158" t="s">
        <v>39</v>
      </c>
      <c r="C252" s="309" t="s">
        <v>99</v>
      </c>
      <c r="D252" s="309" t="s">
        <v>214</v>
      </c>
      <c r="E252" s="309" t="s">
        <v>214</v>
      </c>
      <c r="F252" s="309" t="s">
        <v>217</v>
      </c>
      <c r="G252" s="608">
        <v>45693</v>
      </c>
      <c r="H252" s="159">
        <v>1</v>
      </c>
      <c r="I252" s="160"/>
      <c r="J252" s="161"/>
    </row>
    <row r="253" spans="1:10">
      <c r="A253" s="411" t="s">
        <v>162</v>
      </c>
      <c r="B253" s="158" t="s">
        <v>39</v>
      </c>
      <c r="C253" s="309" t="s">
        <v>99</v>
      </c>
      <c r="D253" s="309" t="s">
        <v>214</v>
      </c>
      <c r="E253" s="309" t="s">
        <v>214</v>
      </c>
      <c r="F253" s="309" t="s">
        <v>217</v>
      </c>
      <c r="G253" s="608">
        <v>45694</v>
      </c>
      <c r="H253" s="159">
        <v>1</v>
      </c>
      <c r="I253" s="160"/>
      <c r="J253" s="161"/>
    </row>
    <row r="254" spans="1:10">
      <c r="A254" s="411" t="s">
        <v>162</v>
      </c>
      <c r="B254" s="158" t="s">
        <v>39</v>
      </c>
      <c r="C254" s="309" t="s">
        <v>99</v>
      </c>
      <c r="D254" s="309" t="s">
        <v>214</v>
      </c>
      <c r="E254" s="309" t="s">
        <v>214</v>
      </c>
      <c r="F254" s="309" t="s">
        <v>217</v>
      </c>
      <c r="G254" s="608">
        <v>45695</v>
      </c>
      <c r="H254" s="159">
        <v>1</v>
      </c>
      <c r="I254" s="160"/>
      <c r="J254" s="161"/>
    </row>
    <row r="255" spans="1:10">
      <c r="A255" s="411" t="s">
        <v>162</v>
      </c>
      <c r="B255" s="158" t="s">
        <v>39</v>
      </c>
      <c r="C255" s="309" t="s">
        <v>99</v>
      </c>
      <c r="D255" s="309" t="s">
        <v>214</v>
      </c>
      <c r="E255" s="309" t="s">
        <v>214</v>
      </c>
      <c r="F255" s="309" t="s">
        <v>217</v>
      </c>
      <c r="G255" s="608">
        <v>45698</v>
      </c>
      <c r="H255" s="159">
        <v>1</v>
      </c>
      <c r="I255" s="160"/>
      <c r="J255" s="161"/>
    </row>
    <row r="256" spans="1:10">
      <c r="A256" s="411" t="s">
        <v>162</v>
      </c>
      <c r="B256" s="158" t="s">
        <v>39</v>
      </c>
      <c r="C256" s="309" t="s">
        <v>99</v>
      </c>
      <c r="D256" s="309" t="s">
        <v>214</v>
      </c>
      <c r="E256" s="309" t="s">
        <v>214</v>
      </c>
      <c r="F256" s="309" t="s">
        <v>217</v>
      </c>
      <c r="G256" s="608">
        <v>45699</v>
      </c>
      <c r="H256" s="159">
        <v>1</v>
      </c>
      <c r="I256" s="160"/>
      <c r="J256" s="161"/>
    </row>
    <row r="257" spans="1:10">
      <c r="A257" s="417" t="s">
        <v>175</v>
      </c>
      <c r="B257" s="158" t="s">
        <v>39</v>
      </c>
      <c r="C257" s="309" t="s">
        <v>99</v>
      </c>
      <c r="D257" s="309" t="s">
        <v>214</v>
      </c>
      <c r="E257" s="309" t="s">
        <v>214</v>
      </c>
      <c r="F257" s="309" t="s">
        <v>217</v>
      </c>
      <c r="G257" s="608">
        <v>45700</v>
      </c>
      <c r="H257" s="159">
        <v>1</v>
      </c>
      <c r="I257" s="160"/>
      <c r="J257" s="161"/>
    </row>
    <row r="258" spans="1:10">
      <c r="A258" s="417" t="s">
        <v>175</v>
      </c>
      <c r="B258" s="158" t="s">
        <v>39</v>
      </c>
      <c r="C258" s="309" t="s">
        <v>99</v>
      </c>
      <c r="D258" s="309" t="s">
        <v>214</v>
      </c>
      <c r="E258" s="309" t="s">
        <v>214</v>
      </c>
      <c r="F258" s="309" t="s">
        <v>217</v>
      </c>
      <c r="G258" s="608">
        <v>45701</v>
      </c>
      <c r="H258" s="159">
        <v>1</v>
      </c>
      <c r="I258" s="160"/>
      <c r="J258" s="161"/>
    </row>
    <row r="259" spans="1:10">
      <c r="A259" s="417" t="s">
        <v>175</v>
      </c>
      <c r="B259" s="158" t="s">
        <v>39</v>
      </c>
      <c r="C259" s="309" t="s">
        <v>99</v>
      </c>
      <c r="D259" s="309" t="s">
        <v>214</v>
      </c>
      <c r="E259" s="309" t="s">
        <v>214</v>
      </c>
      <c r="F259" s="309" t="s">
        <v>217</v>
      </c>
      <c r="G259" s="608">
        <v>45702</v>
      </c>
      <c r="H259" s="159">
        <v>1</v>
      </c>
      <c r="I259" s="160"/>
      <c r="J259" s="161"/>
    </row>
    <row r="260" spans="1:10">
      <c r="A260" s="417" t="s">
        <v>175</v>
      </c>
      <c r="B260" s="158" t="s">
        <v>39</v>
      </c>
      <c r="C260" s="309" t="s">
        <v>99</v>
      </c>
      <c r="D260" s="309" t="s">
        <v>214</v>
      </c>
      <c r="E260" s="309" t="s">
        <v>214</v>
      </c>
      <c r="F260" s="309" t="s">
        <v>217</v>
      </c>
      <c r="G260" s="608">
        <v>45705</v>
      </c>
      <c r="H260" s="159">
        <v>1</v>
      </c>
      <c r="I260" s="160"/>
      <c r="J260" s="161"/>
    </row>
    <row r="261" spans="1:10">
      <c r="A261" s="423" t="s">
        <v>189</v>
      </c>
      <c r="B261" s="158" t="s">
        <v>39</v>
      </c>
      <c r="C261" s="309" t="s">
        <v>99</v>
      </c>
      <c r="D261" s="309" t="s">
        <v>214</v>
      </c>
      <c r="E261" s="309" t="s">
        <v>214</v>
      </c>
      <c r="F261" s="309" t="s">
        <v>217</v>
      </c>
      <c r="G261" s="608">
        <v>45708</v>
      </c>
      <c r="H261" s="159">
        <v>1</v>
      </c>
      <c r="I261" s="160"/>
      <c r="J261" s="161"/>
    </row>
    <row r="262" spans="1:10">
      <c r="A262" s="423" t="s">
        <v>189</v>
      </c>
      <c r="B262" s="158" t="s">
        <v>39</v>
      </c>
      <c r="C262" s="309" t="s">
        <v>99</v>
      </c>
      <c r="D262" s="309" t="s">
        <v>214</v>
      </c>
      <c r="E262" s="309" t="s">
        <v>214</v>
      </c>
      <c r="F262" s="309" t="s">
        <v>217</v>
      </c>
      <c r="G262" s="608">
        <v>45709</v>
      </c>
      <c r="H262" s="159">
        <v>1</v>
      </c>
      <c r="I262" s="160"/>
      <c r="J262" s="161"/>
    </row>
    <row r="263" spans="1:10">
      <c r="A263" s="423" t="s">
        <v>189</v>
      </c>
      <c r="B263" s="158" t="s">
        <v>39</v>
      </c>
      <c r="C263" s="309" t="s">
        <v>99</v>
      </c>
      <c r="D263" s="309" t="s">
        <v>214</v>
      </c>
      <c r="E263" s="309" t="s">
        <v>214</v>
      </c>
      <c r="F263" s="309" t="s">
        <v>217</v>
      </c>
      <c r="G263" s="608">
        <v>45712</v>
      </c>
      <c r="H263" s="159">
        <v>1</v>
      </c>
      <c r="I263" s="160"/>
      <c r="J263" s="161"/>
    </row>
    <row r="264" spans="1:10">
      <c r="A264" s="430" t="s">
        <v>207</v>
      </c>
      <c r="B264" s="158" t="s">
        <v>39</v>
      </c>
      <c r="C264" s="309" t="s">
        <v>99</v>
      </c>
      <c r="D264" s="309" t="s">
        <v>214</v>
      </c>
      <c r="E264" s="309" t="s">
        <v>214</v>
      </c>
      <c r="F264" s="309" t="s">
        <v>217</v>
      </c>
      <c r="G264" s="608">
        <v>45714</v>
      </c>
      <c r="H264" s="159">
        <v>1</v>
      </c>
      <c r="I264" s="160"/>
      <c r="J264" s="161"/>
    </row>
    <row r="265" spans="1:10">
      <c r="A265" s="430" t="s">
        <v>207</v>
      </c>
      <c r="B265" s="158" t="s">
        <v>39</v>
      </c>
      <c r="C265" s="309" t="s">
        <v>99</v>
      </c>
      <c r="D265" s="309" t="s">
        <v>214</v>
      </c>
      <c r="E265" s="309" t="s">
        <v>214</v>
      </c>
      <c r="F265" s="309" t="s">
        <v>217</v>
      </c>
      <c r="G265" s="608">
        <v>45715</v>
      </c>
      <c r="H265" s="159">
        <v>1</v>
      </c>
      <c r="I265" s="160"/>
      <c r="J265" s="161"/>
    </row>
    <row r="266" spans="1:10">
      <c r="A266" s="430" t="s">
        <v>207</v>
      </c>
      <c r="B266" s="158" t="s">
        <v>39</v>
      </c>
      <c r="C266" s="309" t="s">
        <v>99</v>
      </c>
      <c r="D266" s="309" t="s">
        <v>214</v>
      </c>
      <c r="E266" s="309" t="s">
        <v>214</v>
      </c>
      <c r="F266" s="309" t="s">
        <v>217</v>
      </c>
      <c r="G266" s="608">
        <v>45716</v>
      </c>
      <c r="H266" s="159">
        <v>1</v>
      </c>
      <c r="I266" s="160"/>
      <c r="J266" s="161"/>
    </row>
    <row r="267" spans="1:10">
      <c r="A267" s="430" t="s">
        <v>207</v>
      </c>
      <c r="B267" s="158" t="s">
        <v>39</v>
      </c>
      <c r="C267" s="309" t="s">
        <v>99</v>
      </c>
      <c r="D267" s="309" t="s">
        <v>214</v>
      </c>
      <c r="E267" s="309" t="s">
        <v>214</v>
      </c>
      <c r="F267" s="309" t="s">
        <v>217</v>
      </c>
      <c r="G267" s="608">
        <v>45721</v>
      </c>
      <c r="H267" s="159">
        <v>1</v>
      </c>
      <c r="I267" s="160"/>
      <c r="J267" s="161"/>
    </row>
    <row r="268" spans="1:10">
      <c r="A268" s="136" t="s">
        <v>144</v>
      </c>
      <c r="B268" s="158" t="s">
        <v>39</v>
      </c>
      <c r="C268" s="309" t="s">
        <v>99</v>
      </c>
      <c r="D268" s="309" t="s">
        <v>214</v>
      </c>
      <c r="E268" s="309" t="s">
        <v>214</v>
      </c>
      <c r="F268" s="309" t="s">
        <v>217</v>
      </c>
      <c r="G268" s="608">
        <v>45688</v>
      </c>
      <c r="H268" s="159">
        <v>1</v>
      </c>
      <c r="I268" s="160"/>
      <c r="J268" s="161"/>
    </row>
    <row r="269" spans="1:10">
      <c r="A269" s="136" t="s">
        <v>144</v>
      </c>
      <c r="B269" s="158" t="s">
        <v>39</v>
      </c>
      <c r="C269" s="309" t="s">
        <v>99</v>
      </c>
      <c r="D269" s="309" t="s">
        <v>214</v>
      </c>
      <c r="E269" s="309" t="s">
        <v>214</v>
      </c>
      <c r="F269" s="309" t="s">
        <v>217</v>
      </c>
      <c r="G269" s="608">
        <v>45691</v>
      </c>
      <c r="H269" s="159">
        <v>1</v>
      </c>
      <c r="I269" s="160"/>
      <c r="J269" s="161"/>
    </row>
    <row r="270" spans="1:10">
      <c r="A270" s="136" t="s">
        <v>144</v>
      </c>
      <c r="B270" s="158" t="s">
        <v>39</v>
      </c>
      <c r="C270" s="309" t="s">
        <v>99</v>
      </c>
      <c r="D270" s="309" t="s">
        <v>214</v>
      </c>
      <c r="E270" s="309" t="s">
        <v>214</v>
      </c>
      <c r="F270" s="309" t="s">
        <v>217</v>
      </c>
      <c r="G270" s="608">
        <v>45692</v>
      </c>
      <c r="H270" s="159">
        <v>1</v>
      </c>
      <c r="I270" s="160"/>
      <c r="J270" s="161"/>
    </row>
    <row r="271" spans="1:10">
      <c r="A271" s="136" t="s">
        <v>144</v>
      </c>
      <c r="B271" s="158" t="s">
        <v>39</v>
      </c>
      <c r="C271" s="309" t="s">
        <v>99</v>
      </c>
      <c r="D271" s="309" t="s">
        <v>214</v>
      </c>
      <c r="E271" s="309" t="s">
        <v>214</v>
      </c>
      <c r="F271" s="309" t="s">
        <v>217</v>
      </c>
      <c r="G271" s="608">
        <v>45693</v>
      </c>
      <c r="H271" s="159">
        <v>1</v>
      </c>
      <c r="I271" s="160"/>
      <c r="J271" s="161"/>
    </row>
    <row r="272" spans="1:10">
      <c r="A272" s="411" t="s">
        <v>162</v>
      </c>
      <c r="B272" s="158" t="s">
        <v>39</v>
      </c>
      <c r="C272" s="309" t="s">
        <v>99</v>
      </c>
      <c r="D272" s="309" t="s">
        <v>214</v>
      </c>
      <c r="E272" s="309" t="s">
        <v>214</v>
      </c>
      <c r="F272" s="309" t="s">
        <v>217</v>
      </c>
      <c r="G272" s="608">
        <v>45694</v>
      </c>
      <c r="H272" s="159">
        <v>1</v>
      </c>
      <c r="I272" s="160"/>
      <c r="J272" s="161"/>
    </row>
    <row r="273" spans="1:10">
      <c r="A273" s="411" t="s">
        <v>162</v>
      </c>
      <c r="B273" s="158" t="s">
        <v>39</v>
      </c>
      <c r="C273" s="309" t="s">
        <v>99</v>
      </c>
      <c r="D273" s="309" t="s">
        <v>214</v>
      </c>
      <c r="E273" s="309" t="s">
        <v>214</v>
      </c>
      <c r="F273" s="309" t="s">
        <v>217</v>
      </c>
      <c r="G273" s="608">
        <v>45695</v>
      </c>
      <c r="H273" s="159">
        <v>1</v>
      </c>
      <c r="I273" s="160"/>
      <c r="J273" s="161"/>
    </row>
    <row r="274" spans="1:10">
      <c r="A274" s="411" t="s">
        <v>162</v>
      </c>
      <c r="B274" s="158" t="s">
        <v>39</v>
      </c>
      <c r="C274" s="309" t="s">
        <v>99</v>
      </c>
      <c r="D274" s="309" t="s">
        <v>214</v>
      </c>
      <c r="E274" s="309" t="s">
        <v>214</v>
      </c>
      <c r="F274" s="309" t="s">
        <v>217</v>
      </c>
      <c r="G274" s="608">
        <v>45698</v>
      </c>
      <c r="H274" s="159">
        <v>1</v>
      </c>
      <c r="I274" s="160"/>
      <c r="J274" s="161"/>
    </row>
    <row r="275" spans="1:10">
      <c r="A275" s="411" t="s">
        <v>162</v>
      </c>
      <c r="B275" s="158" t="s">
        <v>39</v>
      </c>
      <c r="C275" s="309" t="s">
        <v>99</v>
      </c>
      <c r="D275" s="309" t="s">
        <v>214</v>
      </c>
      <c r="E275" s="309" t="s">
        <v>214</v>
      </c>
      <c r="F275" s="309" t="s">
        <v>217</v>
      </c>
      <c r="G275" s="608">
        <v>45699</v>
      </c>
      <c r="H275" s="159">
        <v>1</v>
      </c>
      <c r="I275" s="160"/>
      <c r="J275" s="161"/>
    </row>
    <row r="276" spans="1:10">
      <c r="A276" s="417" t="s">
        <v>175</v>
      </c>
      <c r="B276" s="158" t="s">
        <v>39</v>
      </c>
      <c r="C276" s="309" t="s">
        <v>99</v>
      </c>
      <c r="D276" s="309" t="s">
        <v>214</v>
      </c>
      <c r="E276" s="309" t="s">
        <v>214</v>
      </c>
      <c r="F276" s="309" t="s">
        <v>217</v>
      </c>
      <c r="G276" s="608">
        <v>45700</v>
      </c>
      <c r="H276" s="159">
        <v>1</v>
      </c>
      <c r="I276" s="160"/>
      <c r="J276" s="161"/>
    </row>
    <row r="277" spans="1:10">
      <c r="A277" s="417" t="s">
        <v>175</v>
      </c>
      <c r="B277" s="158" t="s">
        <v>39</v>
      </c>
      <c r="C277" s="309" t="s">
        <v>99</v>
      </c>
      <c r="D277" s="309" t="s">
        <v>214</v>
      </c>
      <c r="E277" s="309" t="s">
        <v>214</v>
      </c>
      <c r="F277" s="309" t="s">
        <v>217</v>
      </c>
      <c r="G277" s="608">
        <v>45701</v>
      </c>
      <c r="H277" s="159">
        <v>1</v>
      </c>
      <c r="I277" s="160"/>
      <c r="J277" s="161"/>
    </row>
    <row r="278" spans="1:10">
      <c r="A278" s="417" t="s">
        <v>175</v>
      </c>
      <c r="B278" s="158" t="s">
        <v>39</v>
      </c>
      <c r="C278" s="309" t="s">
        <v>99</v>
      </c>
      <c r="D278" s="309" t="s">
        <v>214</v>
      </c>
      <c r="E278" s="309" t="s">
        <v>214</v>
      </c>
      <c r="F278" s="309" t="s">
        <v>217</v>
      </c>
      <c r="G278" s="608">
        <v>45702</v>
      </c>
      <c r="H278" s="159">
        <v>1</v>
      </c>
      <c r="I278" s="160"/>
      <c r="J278" s="161"/>
    </row>
    <row r="279" spans="1:10">
      <c r="A279" s="417" t="s">
        <v>175</v>
      </c>
      <c r="B279" s="158" t="s">
        <v>39</v>
      </c>
      <c r="C279" s="309" t="s">
        <v>99</v>
      </c>
      <c r="D279" s="309" t="s">
        <v>214</v>
      </c>
      <c r="E279" s="309" t="s">
        <v>214</v>
      </c>
      <c r="F279" s="309" t="s">
        <v>217</v>
      </c>
      <c r="G279" s="608">
        <v>45705</v>
      </c>
      <c r="H279" s="159">
        <v>1</v>
      </c>
      <c r="I279" s="160"/>
      <c r="J279" s="161"/>
    </row>
    <row r="280" spans="1:10">
      <c r="A280" s="423" t="s">
        <v>189</v>
      </c>
      <c r="B280" s="158" t="s">
        <v>39</v>
      </c>
      <c r="C280" s="309" t="s">
        <v>99</v>
      </c>
      <c r="D280" s="309" t="s">
        <v>214</v>
      </c>
      <c r="E280" s="309" t="s">
        <v>214</v>
      </c>
      <c r="F280" s="309" t="s">
        <v>217</v>
      </c>
      <c r="G280" s="608">
        <v>45708</v>
      </c>
      <c r="H280" s="159">
        <v>1</v>
      </c>
      <c r="I280" s="160"/>
      <c r="J280" s="161"/>
    </row>
    <row r="281" spans="1:10">
      <c r="A281" s="423" t="s">
        <v>189</v>
      </c>
      <c r="B281" s="158" t="s">
        <v>39</v>
      </c>
      <c r="C281" s="309" t="s">
        <v>99</v>
      </c>
      <c r="D281" s="309" t="s">
        <v>214</v>
      </c>
      <c r="E281" s="309" t="s">
        <v>214</v>
      </c>
      <c r="F281" s="309" t="s">
        <v>217</v>
      </c>
      <c r="G281" s="608">
        <v>45709</v>
      </c>
      <c r="H281" s="159">
        <v>1</v>
      </c>
      <c r="I281" s="160"/>
      <c r="J281" s="161"/>
    </row>
    <row r="282" spans="1:10">
      <c r="A282" s="430" t="s">
        <v>207</v>
      </c>
      <c r="B282" s="158" t="s">
        <v>39</v>
      </c>
      <c r="C282" s="309" t="s">
        <v>99</v>
      </c>
      <c r="D282" s="309" t="s">
        <v>214</v>
      </c>
      <c r="E282" s="309" t="s">
        <v>214</v>
      </c>
      <c r="F282" s="309" t="s">
        <v>217</v>
      </c>
      <c r="G282" s="608">
        <v>45714</v>
      </c>
      <c r="H282" s="159">
        <v>1</v>
      </c>
      <c r="I282" s="160"/>
      <c r="J282" s="161"/>
    </row>
    <row r="283" spans="1:10">
      <c r="A283" s="430" t="s">
        <v>207</v>
      </c>
      <c r="B283" s="158" t="s">
        <v>39</v>
      </c>
      <c r="C283" s="309" t="s">
        <v>99</v>
      </c>
      <c r="D283" s="309" t="s">
        <v>214</v>
      </c>
      <c r="E283" s="309" t="s">
        <v>214</v>
      </c>
      <c r="F283" s="309" t="s">
        <v>217</v>
      </c>
      <c r="G283" s="608">
        <v>45715</v>
      </c>
      <c r="H283" s="159">
        <v>1</v>
      </c>
      <c r="I283" s="160"/>
      <c r="J283" s="161"/>
    </row>
    <row r="284" spans="1:10">
      <c r="A284" s="430" t="s">
        <v>207</v>
      </c>
      <c r="B284" s="158" t="s">
        <v>39</v>
      </c>
      <c r="C284" s="309" t="s">
        <v>99</v>
      </c>
      <c r="D284" s="309" t="s">
        <v>214</v>
      </c>
      <c r="E284" s="309" t="s">
        <v>214</v>
      </c>
      <c r="F284" s="309" t="s">
        <v>217</v>
      </c>
      <c r="G284" s="608">
        <v>45716</v>
      </c>
      <c r="H284" s="159">
        <v>1</v>
      </c>
      <c r="I284" s="160"/>
      <c r="J284" s="161"/>
    </row>
    <row r="285" spans="1:10">
      <c r="A285" s="430" t="s">
        <v>207</v>
      </c>
      <c r="B285" s="158" t="s">
        <v>39</v>
      </c>
      <c r="C285" s="309" t="s">
        <v>99</v>
      </c>
      <c r="D285" s="309" t="s">
        <v>214</v>
      </c>
      <c r="E285" s="309" t="s">
        <v>214</v>
      </c>
      <c r="F285" s="309" t="s">
        <v>217</v>
      </c>
      <c r="G285" s="608">
        <v>45721</v>
      </c>
      <c r="H285" s="159">
        <v>1</v>
      </c>
      <c r="I285" s="160"/>
      <c r="J285" s="161"/>
    </row>
    <row r="286" spans="1:10">
      <c r="A286" s="409" t="s">
        <v>157</v>
      </c>
      <c r="B286" s="158" t="s">
        <v>39</v>
      </c>
      <c r="C286" s="309" t="s">
        <v>99</v>
      </c>
      <c r="D286" s="309" t="s">
        <v>214</v>
      </c>
      <c r="E286" s="309" t="s">
        <v>214</v>
      </c>
      <c r="F286" s="309" t="s">
        <v>116</v>
      </c>
      <c r="G286" s="608">
        <v>45694</v>
      </c>
      <c r="H286" s="159">
        <v>1</v>
      </c>
      <c r="I286" s="160"/>
      <c r="J286" s="161"/>
    </row>
    <row r="287" spans="1:10">
      <c r="A287" s="409" t="s">
        <v>157</v>
      </c>
      <c r="B287" s="158" t="s">
        <v>39</v>
      </c>
      <c r="C287" s="309" t="s">
        <v>99</v>
      </c>
      <c r="D287" s="309" t="s">
        <v>214</v>
      </c>
      <c r="E287" s="309" t="s">
        <v>214</v>
      </c>
      <c r="F287" s="309" t="s">
        <v>116</v>
      </c>
      <c r="G287" s="608">
        <v>45695</v>
      </c>
      <c r="H287" s="159">
        <v>1</v>
      </c>
      <c r="I287" s="160"/>
      <c r="J287" s="161"/>
    </row>
    <row r="288" spans="1:10">
      <c r="A288" s="409" t="s">
        <v>157</v>
      </c>
      <c r="B288" s="158" t="s">
        <v>39</v>
      </c>
      <c r="C288" s="309" t="s">
        <v>99</v>
      </c>
      <c r="D288" s="309" t="s">
        <v>214</v>
      </c>
      <c r="E288" s="309" t="s">
        <v>214</v>
      </c>
      <c r="F288" s="309" t="s">
        <v>116</v>
      </c>
      <c r="G288" s="608">
        <v>45698</v>
      </c>
      <c r="H288" s="159">
        <v>1</v>
      </c>
      <c r="I288" s="160"/>
      <c r="J288" s="161"/>
    </row>
    <row r="289" spans="1:10">
      <c r="A289" s="409" t="s">
        <v>157</v>
      </c>
      <c r="B289" s="158" t="s">
        <v>39</v>
      </c>
      <c r="C289" s="309" t="s">
        <v>99</v>
      </c>
      <c r="D289" s="309" t="s">
        <v>214</v>
      </c>
      <c r="E289" s="309" t="s">
        <v>214</v>
      </c>
      <c r="F289" s="309" t="s">
        <v>116</v>
      </c>
      <c r="G289" s="608">
        <v>45699</v>
      </c>
      <c r="H289" s="159">
        <v>1</v>
      </c>
      <c r="I289" s="160"/>
      <c r="J289" s="161"/>
    </row>
    <row r="290" spans="1:10">
      <c r="A290" s="419" t="s">
        <v>179</v>
      </c>
      <c r="B290" s="158" t="s">
        <v>39</v>
      </c>
      <c r="C290" s="309" t="s">
        <v>99</v>
      </c>
      <c r="D290" s="309" t="s">
        <v>214</v>
      </c>
      <c r="E290" s="309" t="s">
        <v>214</v>
      </c>
      <c r="F290" s="309" t="s">
        <v>116</v>
      </c>
      <c r="G290" s="608">
        <v>45702</v>
      </c>
      <c r="H290" s="159">
        <v>1</v>
      </c>
      <c r="I290" s="160"/>
      <c r="J290" s="161"/>
    </row>
    <row r="291" spans="1:10">
      <c r="A291" s="419" t="s">
        <v>179</v>
      </c>
      <c r="B291" s="158" t="s">
        <v>39</v>
      </c>
      <c r="C291" s="309" t="s">
        <v>99</v>
      </c>
      <c r="D291" s="309" t="s">
        <v>214</v>
      </c>
      <c r="E291" s="309" t="s">
        <v>214</v>
      </c>
      <c r="F291" s="309" t="s">
        <v>116</v>
      </c>
      <c r="G291" s="608">
        <v>45705</v>
      </c>
      <c r="H291" s="159">
        <v>1</v>
      </c>
      <c r="I291" s="160"/>
      <c r="J291" s="161"/>
    </row>
    <row r="292" spans="1:10">
      <c r="A292" s="419" t="s">
        <v>179</v>
      </c>
      <c r="B292" s="158" t="s">
        <v>39</v>
      </c>
      <c r="C292" s="309" t="s">
        <v>99</v>
      </c>
      <c r="D292" s="309" t="s">
        <v>214</v>
      </c>
      <c r="E292" s="309" t="s">
        <v>214</v>
      </c>
      <c r="F292" s="309" t="s">
        <v>116</v>
      </c>
      <c r="G292" s="608">
        <v>45706</v>
      </c>
      <c r="H292" s="159">
        <v>1</v>
      </c>
      <c r="I292" s="160"/>
      <c r="J292" s="161"/>
    </row>
    <row r="293" spans="1:10">
      <c r="A293" s="419" t="s">
        <v>179</v>
      </c>
      <c r="B293" s="158" t="s">
        <v>39</v>
      </c>
      <c r="C293" s="309" t="s">
        <v>99</v>
      </c>
      <c r="D293" s="309" t="s">
        <v>214</v>
      </c>
      <c r="E293" s="309" t="s">
        <v>214</v>
      </c>
      <c r="F293" s="309" t="s">
        <v>116</v>
      </c>
      <c r="G293" s="608">
        <v>45707</v>
      </c>
      <c r="H293" s="159">
        <v>1</v>
      </c>
      <c r="I293" s="160"/>
      <c r="J293" s="161"/>
    </row>
    <row r="294" spans="1:10">
      <c r="A294" s="427" t="s">
        <v>201</v>
      </c>
      <c r="B294" s="158" t="s">
        <v>39</v>
      </c>
      <c r="C294" s="309" t="s">
        <v>99</v>
      </c>
      <c r="D294" s="309" t="s">
        <v>214</v>
      </c>
      <c r="E294" s="309" t="s">
        <v>214</v>
      </c>
      <c r="F294" s="309" t="s">
        <v>116</v>
      </c>
      <c r="G294" s="608">
        <v>45712</v>
      </c>
      <c r="H294" s="159">
        <v>1</v>
      </c>
      <c r="I294" s="160"/>
      <c r="J294" s="161"/>
    </row>
    <row r="295" spans="1:10">
      <c r="A295" s="427" t="s">
        <v>201</v>
      </c>
      <c r="B295" s="158" t="s">
        <v>39</v>
      </c>
      <c r="C295" s="309" t="s">
        <v>99</v>
      </c>
      <c r="D295" s="309" t="s">
        <v>214</v>
      </c>
      <c r="E295" s="309" t="s">
        <v>214</v>
      </c>
      <c r="F295" s="309" t="s">
        <v>116</v>
      </c>
      <c r="G295" s="608">
        <v>45713</v>
      </c>
      <c r="H295" s="159">
        <v>1</v>
      </c>
      <c r="I295" s="160"/>
      <c r="J295" s="161"/>
    </row>
    <row r="296" spans="1:10">
      <c r="A296" s="427" t="s">
        <v>201</v>
      </c>
      <c r="B296" s="158" t="s">
        <v>39</v>
      </c>
      <c r="C296" s="309" t="s">
        <v>99</v>
      </c>
      <c r="D296" s="309" t="s">
        <v>214</v>
      </c>
      <c r="E296" s="309" t="s">
        <v>214</v>
      </c>
      <c r="F296" s="309" t="s">
        <v>116</v>
      </c>
      <c r="G296" s="608">
        <v>45714</v>
      </c>
      <c r="H296" s="159">
        <v>1</v>
      </c>
      <c r="I296" s="160"/>
      <c r="J296" s="161"/>
    </row>
    <row r="297" spans="1:10">
      <c r="A297" s="427" t="s">
        <v>201</v>
      </c>
      <c r="B297" s="158" t="s">
        <v>39</v>
      </c>
      <c r="C297" s="309" t="s">
        <v>99</v>
      </c>
      <c r="D297" s="309" t="s">
        <v>214</v>
      </c>
      <c r="E297" s="309" t="s">
        <v>214</v>
      </c>
      <c r="F297" s="309" t="s">
        <v>116</v>
      </c>
      <c r="G297" s="608">
        <v>45715</v>
      </c>
      <c r="H297" s="159">
        <v>1</v>
      </c>
      <c r="I297" s="160"/>
      <c r="J297" s="161"/>
    </row>
    <row r="298" spans="1:10">
      <c r="A298" s="409" t="s">
        <v>157</v>
      </c>
      <c r="B298" s="158" t="s">
        <v>39</v>
      </c>
      <c r="C298" s="309" t="s">
        <v>99</v>
      </c>
      <c r="D298" s="309" t="s">
        <v>214</v>
      </c>
      <c r="E298" s="309" t="s">
        <v>214</v>
      </c>
      <c r="F298" s="309" t="s">
        <v>116</v>
      </c>
      <c r="G298" s="608">
        <v>45694</v>
      </c>
      <c r="H298" s="159">
        <v>1</v>
      </c>
      <c r="I298" s="160"/>
      <c r="J298" s="161"/>
    </row>
    <row r="299" spans="1:10">
      <c r="A299" s="409" t="s">
        <v>157</v>
      </c>
      <c r="B299" s="158" t="s">
        <v>39</v>
      </c>
      <c r="C299" s="309" t="s">
        <v>99</v>
      </c>
      <c r="D299" s="309" t="s">
        <v>214</v>
      </c>
      <c r="E299" s="309" t="s">
        <v>214</v>
      </c>
      <c r="F299" s="309" t="s">
        <v>116</v>
      </c>
      <c r="G299" s="608">
        <v>45695</v>
      </c>
      <c r="H299" s="159">
        <v>1</v>
      </c>
      <c r="I299" s="160"/>
      <c r="J299" s="161"/>
    </row>
    <row r="300" spans="1:10">
      <c r="A300" s="409" t="s">
        <v>157</v>
      </c>
      <c r="B300" s="158" t="s">
        <v>39</v>
      </c>
      <c r="C300" s="309" t="s">
        <v>99</v>
      </c>
      <c r="D300" s="309" t="s">
        <v>214</v>
      </c>
      <c r="E300" s="309" t="s">
        <v>214</v>
      </c>
      <c r="F300" s="309" t="s">
        <v>116</v>
      </c>
      <c r="G300" s="608">
        <v>45698</v>
      </c>
      <c r="H300" s="159">
        <v>1</v>
      </c>
      <c r="I300" s="160"/>
      <c r="J300" s="161"/>
    </row>
    <row r="301" spans="1:10">
      <c r="A301" s="409" t="s">
        <v>157</v>
      </c>
      <c r="B301" s="158" t="s">
        <v>39</v>
      </c>
      <c r="C301" s="309" t="s">
        <v>99</v>
      </c>
      <c r="D301" s="309" t="s">
        <v>214</v>
      </c>
      <c r="E301" s="309" t="s">
        <v>214</v>
      </c>
      <c r="F301" s="309" t="s">
        <v>116</v>
      </c>
      <c r="G301" s="608">
        <v>45699</v>
      </c>
      <c r="H301" s="159">
        <v>1</v>
      </c>
      <c r="I301" s="160"/>
      <c r="J301" s="161"/>
    </row>
    <row r="302" spans="1:10">
      <c r="A302" s="419" t="s">
        <v>179</v>
      </c>
      <c r="B302" s="158" t="s">
        <v>39</v>
      </c>
      <c r="C302" s="309" t="s">
        <v>99</v>
      </c>
      <c r="D302" s="309" t="s">
        <v>214</v>
      </c>
      <c r="E302" s="309" t="s">
        <v>214</v>
      </c>
      <c r="F302" s="309" t="s">
        <v>116</v>
      </c>
      <c r="G302" s="608">
        <v>45702</v>
      </c>
      <c r="H302" s="159">
        <v>1</v>
      </c>
      <c r="I302" s="160"/>
      <c r="J302" s="161"/>
    </row>
    <row r="303" spans="1:10">
      <c r="A303" s="419" t="s">
        <v>179</v>
      </c>
      <c r="B303" s="158" t="s">
        <v>39</v>
      </c>
      <c r="C303" s="309" t="s">
        <v>99</v>
      </c>
      <c r="D303" s="309" t="s">
        <v>214</v>
      </c>
      <c r="E303" s="309" t="s">
        <v>214</v>
      </c>
      <c r="F303" s="309" t="s">
        <v>116</v>
      </c>
      <c r="G303" s="608">
        <v>45705</v>
      </c>
      <c r="H303" s="159">
        <v>1</v>
      </c>
      <c r="I303" s="160"/>
      <c r="J303" s="161"/>
    </row>
    <row r="304" spans="1:10">
      <c r="A304" s="419" t="s">
        <v>179</v>
      </c>
      <c r="B304" s="158" t="s">
        <v>39</v>
      </c>
      <c r="C304" s="309" t="s">
        <v>99</v>
      </c>
      <c r="D304" s="309" t="s">
        <v>214</v>
      </c>
      <c r="E304" s="309" t="s">
        <v>214</v>
      </c>
      <c r="F304" s="309" t="s">
        <v>116</v>
      </c>
      <c r="G304" s="608">
        <v>45706</v>
      </c>
      <c r="H304" s="159">
        <v>1</v>
      </c>
      <c r="I304" s="160"/>
      <c r="J304" s="161"/>
    </row>
    <row r="305" spans="1:10">
      <c r="A305" s="419" t="s">
        <v>179</v>
      </c>
      <c r="B305" s="158" t="s">
        <v>39</v>
      </c>
      <c r="C305" s="309" t="s">
        <v>99</v>
      </c>
      <c r="D305" s="309" t="s">
        <v>214</v>
      </c>
      <c r="E305" s="309" t="s">
        <v>214</v>
      </c>
      <c r="F305" s="309" t="s">
        <v>116</v>
      </c>
      <c r="G305" s="608">
        <v>45707</v>
      </c>
      <c r="H305" s="159">
        <v>1</v>
      </c>
      <c r="I305" s="160"/>
      <c r="J305" s="161"/>
    </row>
    <row r="306" spans="1:10">
      <c r="A306" s="427" t="s">
        <v>201</v>
      </c>
      <c r="B306" s="158" t="s">
        <v>39</v>
      </c>
      <c r="C306" s="309" t="s">
        <v>99</v>
      </c>
      <c r="D306" s="309" t="s">
        <v>214</v>
      </c>
      <c r="E306" s="309" t="s">
        <v>214</v>
      </c>
      <c r="F306" s="309" t="s">
        <v>116</v>
      </c>
      <c r="G306" s="608">
        <v>45712</v>
      </c>
      <c r="H306" s="159">
        <v>1</v>
      </c>
      <c r="I306" s="160"/>
      <c r="J306" s="161"/>
    </row>
    <row r="307" spans="1:10">
      <c r="A307" s="427" t="s">
        <v>201</v>
      </c>
      <c r="B307" s="158" t="s">
        <v>39</v>
      </c>
      <c r="C307" s="309" t="s">
        <v>99</v>
      </c>
      <c r="D307" s="309" t="s">
        <v>214</v>
      </c>
      <c r="E307" s="309" t="s">
        <v>214</v>
      </c>
      <c r="F307" s="309" t="s">
        <v>116</v>
      </c>
      <c r="G307" s="608">
        <v>45713</v>
      </c>
      <c r="H307" s="159">
        <v>1</v>
      </c>
      <c r="I307" s="160"/>
      <c r="J307" s="161"/>
    </row>
    <row r="308" spans="1:10">
      <c r="A308" s="427" t="s">
        <v>201</v>
      </c>
      <c r="B308" s="158" t="s">
        <v>39</v>
      </c>
      <c r="C308" s="309" t="s">
        <v>99</v>
      </c>
      <c r="D308" s="309" t="s">
        <v>214</v>
      </c>
      <c r="E308" s="309" t="s">
        <v>214</v>
      </c>
      <c r="F308" s="309" t="s">
        <v>116</v>
      </c>
      <c r="G308" s="608">
        <v>45714</v>
      </c>
      <c r="H308" s="159">
        <v>1</v>
      </c>
      <c r="I308" s="160"/>
      <c r="J308" s="161"/>
    </row>
    <row r="309" spans="1:10">
      <c r="A309" s="427" t="s">
        <v>201</v>
      </c>
      <c r="B309" s="158" t="s">
        <v>39</v>
      </c>
      <c r="C309" s="309" t="s">
        <v>99</v>
      </c>
      <c r="D309" s="309" t="s">
        <v>214</v>
      </c>
      <c r="E309" s="309" t="s">
        <v>214</v>
      </c>
      <c r="F309" s="309" t="s">
        <v>116</v>
      </c>
      <c r="G309" s="608">
        <v>45715</v>
      </c>
      <c r="H309" s="159">
        <v>1</v>
      </c>
      <c r="I309" s="160"/>
      <c r="J309" s="161"/>
    </row>
    <row r="310" spans="1:10">
      <c r="A310" s="414" t="s">
        <v>169</v>
      </c>
      <c r="B310" s="158" t="s">
        <v>39</v>
      </c>
      <c r="C310" s="309" t="s">
        <v>99</v>
      </c>
      <c r="D310" s="309" t="s">
        <v>214</v>
      </c>
      <c r="E310" s="309" t="s">
        <v>214</v>
      </c>
      <c r="F310" s="309" t="s">
        <v>218</v>
      </c>
      <c r="G310" s="608">
        <v>45699</v>
      </c>
      <c r="H310" s="159">
        <v>1</v>
      </c>
      <c r="I310" s="160"/>
      <c r="J310" s="161"/>
    </row>
    <row r="311" spans="1:10">
      <c r="A311" s="414" t="s">
        <v>169</v>
      </c>
      <c r="B311" s="158" t="s">
        <v>39</v>
      </c>
      <c r="C311" s="309" t="s">
        <v>99</v>
      </c>
      <c r="D311" s="309" t="s">
        <v>214</v>
      </c>
      <c r="E311" s="309" t="s">
        <v>214</v>
      </c>
      <c r="F311" s="309" t="s">
        <v>218</v>
      </c>
      <c r="G311" s="608">
        <v>45700</v>
      </c>
      <c r="H311" s="159">
        <v>1</v>
      </c>
      <c r="I311" s="160"/>
      <c r="J311" s="161"/>
    </row>
    <row r="312" spans="1:10">
      <c r="A312" s="414" t="s">
        <v>169</v>
      </c>
      <c r="B312" s="158" t="s">
        <v>39</v>
      </c>
      <c r="C312" s="309" t="s">
        <v>99</v>
      </c>
      <c r="D312" s="309" t="s">
        <v>214</v>
      </c>
      <c r="E312" s="309" t="s">
        <v>214</v>
      </c>
      <c r="F312" s="309" t="s">
        <v>218</v>
      </c>
      <c r="G312" s="608">
        <v>45701</v>
      </c>
      <c r="H312" s="159">
        <v>1</v>
      </c>
      <c r="I312" s="160"/>
      <c r="J312" s="161"/>
    </row>
    <row r="313" spans="1:10">
      <c r="A313" s="414" t="s">
        <v>169</v>
      </c>
      <c r="B313" s="158" t="s">
        <v>39</v>
      </c>
      <c r="C313" s="309" t="s">
        <v>99</v>
      </c>
      <c r="D313" s="309" t="s">
        <v>214</v>
      </c>
      <c r="E313" s="309" t="s">
        <v>214</v>
      </c>
      <c r="F313" s="309" t="s">
        <v>218</v>
      </c>
      <c r="G313" s="608">
        <v>45702</v>
      </c>
      <c r="H313" s="159">
        <v>1</v>
      </c>
      <c r="I313" s="160"/>
      <c r="J313" s="161"/>
    </row>
    <row r="314" spans="1:10">
      <c r="A314" s="422" t="s">
        <v>185</v>
      </c>
      <c r="B314" s="158" t="s">
        <v>39</v>
      </c>
      <c r="C314" s="309" t="s">
        <v>99</v>
      </c>
      <c r="D314" s="309" t="s">
        <v>214</v>
      </c>
      <c r="E314" s="309" t="s">
        <v>214</v>
      </c>
      <c r="F314" s="309" t="s">
        <v>218</v>
      </c>
      <c r="G314" s="608">
        <v>45706</v>
      </c>
      <c r="H314" s="159">
        <v>1</v>
      </c>
      <c r="I314" s="160"/>
      <c r="J314" s="161"/>
    </row>
    <row r="315" spans="1:10">
      <c r="A315" s="421" t="s">
        <v>183</v>
      </c>
      <c r="B315" s="158" t="s">
        <v>39</v>
      </c>
      <c r="C315" s="309" t="s">
        <v>99</v>
      </c>
      <c r="D315" s="309" t="s">
        <v>214</v>
      </c>
      <c r="E315" s="309" t="s">
        <v>214</v>
      </c>
      <c r="F315" s="309" t="s">
        <v>218</v>
      </c>
      <c r="G315" s="608">
        <v>45707</v>
      </c>
      <c r="H315" s="159">
        <v>1</v>
      </c>
      <c r="I315" s="160"/>
      <c r="J315" s="161"/>
    </row>
    <row r="316" spans="1:10">
      <c r="A316" s="426" t="s">
        <v>199</v>
      </c>
      <c r="B316" s="158" t="s">
        <v>39</v>
      </c>
      <c r="C316" s="309" t="s">
        <v>99</v>
      </c>
      <c r="D316" s="309" t="s">
        <v>214</v>
      </c>
      <c r="E316" s="309" t="s">
        <v>214</v>
      </c>
      <c r="F316" s="309" t="s">
        <v>218</v>
      </c>
      <c r="G316" s="608">
        <v>45712</v>
      </c>
      <c r="H316" s="159">
        <v>1</v>
      </c>
      <c r="I316" s="160"/>
      <c r="J316" s="161"/>
    </row>
    <row r="317" spans="1:10">
      <c r="A317" s="426" t="s">
        <v>199</v>
      </c>
      <c r="B317" s="158" t="s">
        <v>39</v>
      </c>
      <c r="C317" s="309" t="s">
        <v>99</v>
      </c>
      <c r="D317" s="309" t="s">
        <v>214</v>
      </c>
      <c r="E317" s="309" t="s">
        <v>214</v>
      </c>
      <c r="F317" s="309" t="s">
        <v>218</v>
      </c>
      <c r="G317" s="608">
        <v>45713</v>
      </c>
      <c r="H317" s="159">
        <v>1</v>
      </c>
      <c r="I317" s="160"/>
      <c r="J317" s="161"/>
    </row>
    <row r="318" spans="1:10">
      <c r="A318" s="426" t="s">
        <v>199</v>
      </c>
      <c r="B318" s="158" t="s">
        <v>39</v>
      </c>
      <c r="C318" s="309" t="s">
        <v>99</v>
      </c>
      <c r="D318" s="309" t="s">
        <v>214</v>
      </c>
      <c r="E318" s="309" t="s">
        <v>214</v>
      </c>
      <c r="F318" s="309" t="s">
        <v>218</v>
      </c>
      <c r="G318" s="608">
        <v>45714</v>
      </c>
      <c r="H318" s="159">
        <v>1</v>
      </c>
      <c r="I318" s="160"/>
      <c r="J318" s="161"/>
    </row>
    <row r="319" spans="1:10">
      <c r="A319" s="426" t="s">
        <v>199</v>
      </c>
      <c r="B319" s="158" t="s">
        <v>39</v>
      </c>
      <c r="C319" s="309" t="s">
        <v>99</v>
      </c>
      <c r="D319" s="309" t="s">
        <v>214</v>
      </c>
      <c r="E319" s="309" t="s">
        <v>214</v>
      </c>
      <c r="F319" s="309" t="s">
        <v>218</v>
      </c>
      <c r="G319" s="608">
        <v>45715</v>
      </c>
      <c r="H319" s="159">
        <v>1</v>
      </c>
      <c r="I319" s="160"/>
      <c r="J319" s="161"/>
    </row>
    <row r="320" spans="1:10">
      <c r="A320" s="414" t="s">
        <v>169</v>
      </c>
      <c r="B320" s="158" t="s">
        <v>39</v>
      </c>
      <c r="C320" s="309" t="s">
        <v>99</v>
      </c>
      <c r="D320" s="309" t="s">
        <v>214</v>
      </c>
      <c r="E320" s="309" t="s">
        <v>214</v>
      </c>
      <c r="F320" s="309" t="s">
        <v>218</v>
      </c>
      <c r="G320" s="608">
        <v>45699</v>
      </c>
      <c r="H320" s="159">
        <v>1</v>
      </c>
      <c r="I320" s="160"/>
      <c r="J320" s="161"/>
    </row>
    <row r="321" spans="1:10">
      <c r="A321" s="414" t="s">
        <v>169</v>
      </c>
      <c r="B321" s="158" t="s">
        <v>39</v>
      </c>
      <c r="C321" s="309" t="s">
        <v>99</v>
      </c>
      <c r="D321" s="309" t="s">
        <v>214</v>
      </c>
      <c r="E321" s="309" t="s">
        <v>214</v>
      </c>
      <c r="F321" s="309" t="s">
        <v>218</v>
      </c>
      <c r="G321" s="608">
        <v>45700</v>
      </c>
      <c r="H321" s="159">
        <v>1</v>
      </c>
      <c r="I321" s="160"/>
      <c r="J321" s="161"/>
    </row>
    <row r="322" spans="1:10">
      <c r="A322" s="414" t="s">
        <v>169</v>
      </c>
      <c r="B322" s="158" t="s">
        <v>39</v>
      </c>
      <c r="C322" s="309" t="s">
        <v>99</v>
      </c>
      <c r="D322" s="309" t="s">
        <v>214</v>
      </c>
      <c r="E322" s="309" t="s">
        <v>214</v>
      </c>
      <c r="F322" s="309" t="s">
        <v>218</v>
      </c>
      <c r="G322" s="608">
        <v>45701</v>
      </c>
      <c r="H322" s="159">
        <v>1</v>
      </c>
      <c r="I322" s="160"/>
      <c r="J322" s="161"/>
    </row>
    <row r="323" spans="1:10">
      <c r="A323" s="414" t="s">
        <v>169</v>
      </c>
      <c r="B323" s="158" t="s">
        <v>39</v>
      </c>
      <c r="C323" s="309" t="s">
        <v>99</v>
      </c>
      <c r="D323" s="309" t="s">
        <v>214</v>
      </c>
      <c r="E323" s="309" t="s">
        <v>214</v>
      </c>
      <c r="F323" s="309" t="s">
        <v>218</v>
      </c>
      <c r="G323" s="608">
        <v>45702</v>
      </c>
      <c r="H323" s="159">
        <v>1</v>
      </c>
      <c r="I323" s="160"/>
      <c r="J323" s="161"/>
    </row>
    <row r="324" spans="1:10">
      <c r="A324" s="422" t="s">
        <v>185</v>
      </c>
      <c r="B324" s="158" t="s">
        <v>39</v>
      </c>
      <c r="C324" s="309" t="s">
        <v>99</v>
      </c>
      <c r="D324" s="309" t="s">
        <v>214</v>
      </c>
      <c r="E324" s="309" t="s">
        <v>214</v>
      </c>
      <c r="F324" s="309" t="s">
        <v>218</v>
      </c>
      <c r="G324" s="608">
        <v>45706</v>
      </c>
      <c r="H324" s="159">
        <v>1</v>
      </c>
      <c r="I324" s="160"/>
      <c r="J324" s="161"/>
    </row>
    <row r="325" spans="1:10">
      <c r="A325" s="421" t="s">
        <v>183</v>
      </c>
      <c r="B325" s="158" t="s">
        <v>39</v>
      </c>
      <c r="C325" s="309" t="s">
        <v>99</v>
      </c>
      <c r="D325" s="309" t="s">
        <v>214</v>
      </c>
      <c r="E325" s="309" t="s">
        <v>214</v>
      </c>
      <c r="F325" s="309" t="s">
        <v>218</v>
      </c>
      <c r="G325" s="608">
        <v>45707</v>
      </c>
      <c r="H325" s="159">
        <v>1</v>
      </c>
      <c r="I325" s="160"/>
      <c r="J325" s="161"/>
    </row>
    <row r="326" spans="1:10">
      <c r="A326" s="426" t="s">
        <v>199</v>
      </c>
      <c r="B326" s="158" t="s">
        <v>39</v>
      </c>
      <c r="C326" s="309" t="s">
        <v>99</v>
      </c>
      <c r="D326" s="309" t="s">
        <v>214</v>
      </c>
      <c r="E326" s="309" t="s">
        <v>214</v>
      </c>
      <c r="F326" s="309" t="s">
        <v>218</v>
      </c>
      <c r="G326" s="608">
        <v>45712</v>
      </c>
      <c r="H326" s="159">
        <v>1</v>
      </c>
      <c r="I326" s="160"/>
      <c r="J326" s="161"/>
    </row>
    <row r="327" spans="1:10">
      <c r="A327" s="426" t="s">
        <v>199</v>
      </c>
      <c r="B327" s="158" t="s">
        <v>39</v>
      </c>
      <c r="C327" s="309" t="s">
        <v>99</v>
      </c>
      <c r="D327" s="309" t="s">
        <v>214</v>
      </c>
      <c r="E327" s="309" t="s">
        <v>214</v>
      </c>
      <c r="F327" s="309" t="s">
        <v>218</v>
      </c>
      <c r="G327" s="608">
        <v>45713</v>
      </c>
      <c r="H327" s="159">
        <v>1</v>
      </c>
      <c r="I327" s="160"/>
      <c r="J327" s="161"/>
    </row>
    <row r="328" spans="1:10">
      <c r="A328" s="426" t="s">
        <v>199</v>
      </c>
      <c r="B328" s="158" t="s">
        <v>39</v>
      </c>
      <c r="C328" s="309" t="s">
        <v>99</v>
      </c>
      <c r="D328" s="309" t="s">
        <v>214</v>
      </c>
      <c r="E328" s="309" t="s">
        <v>214</v>
      </c>
      <c r="F328" s="309" t="s">
        <v>218</v>
      </c>
      <c r="G328" s="608">
        <v>45714</v>
      </c>
      <c r="H328" s="159">
        <v>1</v>
      </c>
      <c r="I328" s="160"/>
      <c r="J328" s="161"/>
    </row>
    <row r="329" spans="1:10">
      <c r="A329" s="426" t="s">
        <v>199</v>
      </c>
      <c r="B329" s="158" t="s">
        <v>39</v>
      </c>
      <c r="C329" s="309" t="s">
        <v>99</v>
      </c>
      <c r="D329" s="309" t="s">
        <v>214</v>
      </c>
      <c r="E329" s="309" t="s">
        <v>214</v>
      </c>
      <c r="F329" s="309" t="s">
        <v>218</v>
      </c>
      <c r="G329" s="608">
        <v>45715</v>
      </c>
      <c r="H329" s="159">
        <v>1</v>
      </c>
      <c r="I329" s="160"/>
      <c r="J329" s="161"/>
    </row>
    <row r="330" spans="1:10">
      <c r="A330" s="137" t="s">
        <v>147</v>
      </c>
      <c r="B330" s="158" t="s">
        <v>39</v>
      </c>
      <c r="C330" s="309" t="s">
        <v>99</v>
      </c>
      <c r="D330" s="309" t="s">
        <v>214</v>
      </c>
      <c r="E330" s="309" t="s">
        <v>214</v>
      </c>
      <c r="F330" s="309" t="s">
        <v>219</v>
      </c>
      <c r="G330" s="608">
        <v>45688</v>
      </c>
      <c r="H330" s="159">
        <v>1</v>
      </c>
      <c r="I330" s="160"/>
      <c r="J330" s="161"/>
    </row>
    <row r="331" spans="1:10">
      <c r="A331" s="137" t="s">
        <v>147</v>
      </c>
      <c r="B331" s="158" t="s">
        <v>39</v>
      </c>
      <c r="C331" s="309" t="s">
        <v>99</v>
      </c>
      <c r="D331" s="309" t="s">
        <v>214</v>
      </c>
      <c r="E331" s="309" t="s">
        <v>214</v>
      </c>
      <c r="F331" s="309" t="s">
        <v>219</v>
      </c>
      <c r="G331" s="608">
        <v>45691</v>
      </c>
      <c r="H331" s="159">
        <v>1</v>
      </c>
      <c r="I331" s="160"/>
      <c r="J331" s="161"/>
    </row>
    <row r="332" spans="1:10">
      <c r="A332" s="137" t="s">
        <v>147</v>
      </c>
      <c r="B332" s="158" t="s">
        <v>39</v>
      </c>
      <c r="C332" s="309" t="s">
        <v>99</v>
      </c>
      <c r="D332" s="309" t="s">
        <v>214</v>
      </c>
      <c r="E332" s="309" t="s">
        <v>214</v>
      </c>
      <c r="F332" s="309" t="s">
        <v>219</v>
      </c>
      <c r="G332" s="608">
        <v>45692</v>
      </c>
      <c r="H332" s="159">
        <v>1</v>
      </c>
      <c r="I332" s="160"/>
      <c r="J332" s="161"/>
    </row>
    <row r="333" spans="1:10">
      <c r="A333" s="137" t="s">
        <v>147</v>
      </c>
      <c r="B333" s="158" t="s">
        <v>39</v>
      </c>
      <c r="C333" s="309" t="s">
        <v>99</v>
      </c>
      <c r="D333" s="309" t="s">
        <v>214</v>
      </c>
      <c r="E333" s="309" t="s">
        <v>214</v>
      </c>
      <c r="F333" s="309" t="s">
        <v>219</v>
      </c>
      <c r="G333" s="608">
        <v>45693</v>
      </c>
      <c r="H333" s="159">
        <v>1</v>
      </c>
      <c r="I333" s="160"/>
      <c r="J333" s="161"/>
    </row>
    <row r="334" spans="1:10">
      <c r="A334" s="137" t="s">
        <v>147</v>
      </c>
      <c r="B334" s="158" t="s">
        <v>39</v>
      </c>
      <c r="C334" s="309" t="s">
        <v>99</v>
      </c>
      <c r="D334" s="309" t="s">
        <v>214</v>
      </c>
      <c r="E334" s="309" t="s">
        <v>214</v>
      </c>
      <c r="F334" s="309" t="s">
        <v>219</v>
      </c>
      <c r="G334" s="608">
        <v>45694</v>
      </c>
      <c r="H334" s="159">
        <v>1</v>
      </c>
      <c r="I334" s="160"/>
      <c r="J334" s="161"/>
    </row>
    <row r="335" spans="1:10">
      <c r="A335" s="412" t="s">
        <v>164</v>
      </c>
      <c r="B335" s="158" t="s">
        <v>39</v>
      </c>
      <c r="C335" s="309" t="s">
        <v>99</v>
      </c>
      <c r="D335" s="309" t="s">
        <v>214</v>
      </c>
      <c r="E335" s="309" t="s">
        <v>214</v>
      </c>
      <c r="F335" s="309" t="s">
        <v>219</v>
      </c>
      <c r="G335" s="608">
        <v>45698</v>
      </c>
      <c r="H335" s="159">
        <v>1</v>
      </c>
      <c r="I335" s="160"/>
      <c r="J335" s="161"/>
    </row>
    <row r="336" spans="1:10">
      <c r="A336" s="412" t="s">
        <v>164</v>
      </c>
      <c r="B336" s="158" t="s">
        <v>39</v>
      </c>
      <c r="C336" s="309" t="s">
        <v>99</v>
      </c>
      <c r="D336" s="309" t="s">
        <v>214</v>
      </c>
      <c r="E336" s="309" t="s">
        <v>214</v>
      </c>
      <c r="F336" s="309" t="s">
        <v>219</v>
      </c>
      <c r="G336" s="608">
        <v>45699</v>
      </c>
      <c r="H336" s="159">
        <v>1</v>
      </c>
      <c r="I336" s="160"/>
      <c r="J336" s="161"/>
    </row>
    <row r="337" spans="1:10">
      <c r="A337" s="412" t="s">
        <v>164</v>
      </c>
      <c r="B337" s="158" t="s">
        <v>39</v>
      </c>
      <c r="C337" s="309" t="s">
        <v>99</v>
      </c>
      <c r="D337" s="309" t="s">
        <v>214</v>
      </c>
      <c r="E337" s="309" t="s">
        <v>214</v>
      </c>
      <c r="F337" s="309" t="s">
        <v>219</v>
      </c>
      <c r="G337" s="608">
        <v>45700</v>
      </c>
      <c r="H337" s="159">
        <v>1</v>
      </c>
      <c r="I337" s="160"/>
      <c r="J337" s="161"/>
    </row>
    <row r="338" spans="1:10">
      <c r="A338" s="412" t="s">
        <v>164</v>
      </c>
      <c r="B338" s="158" t="s">
        <v>39</v>
      </c>
      <c r="C338" s="309" t="s">
        <v>99</v>
      </c>
      <c r="D338" s="309" t="s">
        <v>214</v>
      </c>
      <c r="E338" s="309" t="s">
        <v>214</v>
      </c>
      <c r="F338" s="309" t="s">
        <v>219</v>
      </c>
      <c r="G338" s="608">
        <v>45701</v>
      </c>
      <c r="H338" s="159">
        <v>1</v>
      </c>
      <c r="I338" s="160"/>
      <c r="J338" s="161"/>
    </row>
    <row r="339" spans="1:10">
      <c r="A339" s="420" t="s">
        <v>181</v>
      </c>
      <c r="B339" s="158" t="s">
        <v>39</v>
      </c>
      <c r="C339" s="309" t="s">
        <v>99</v>
      </c>
      <c r="D339" s="309" t="s">
        <v>214</v>
      </c>
      <c r="E339" s="309" t="s">
        <v>214</v>
      </c>
      <c r="F339" s="309" t="s">
        <v>219</v>
      </c>
      <c r="G339" s="608">
        <v>45702</v>
      </c>
      <c r="H339" s="159">
        <v>1</v>
      </c>
      <c r="I339" s="160"/>
      <c r="J339" s="161"/>
    </row>
    <row r="340" spans="1:10">
      <c r="A340" s="420" t="s">
        <v>181</v>
      </c>
      <c r="B340" s="158" t="s">
        <v>39</v>
      </c>
      <c r="C340" s="309" t="s">
        <v>99</v>
      </c>
      <c r="D340" s="309" t="s">
        <v>214</v>
      </c>
      <c r="E340" s="309" t="s">
        <v>214</v>
      </c>
      <c r="F340" s="309" t="s">
        <v>219</v>
      </c>
      <c r="G340" s="608">
        <v>45705</v>
      </c>
      <c r="H340" s="159">
        <v>1</v>
      </c>
      <c r="I340" s="160"/>
      <c r="J340" s="161"/>
    </row>
    <row r="341" spans="1:10">
      <c r="A341" s="420" t="s">
        <v>181</v>
      </c>
      <c r="B341" s="158" t="s">
        <v>39</v>
      </c>
      <c r="C341" s="309" t="s">
        <v>99</v>
      </c>
      <c r="D341" s="309" t="s">
        <v>214</v>
      </c>
      <c r="E341" s="309" t="s">
        <v>214</v>
      </c>
      <c r="F341" s="309" t="s">
        <v>219</v>
      </c>
      <c r="G341" s="608">
        <v>45706</v>
      </c>
      <c r="H341" s="159">
        <v>1</v>
      </c>
      <c r="I341" s="160"/>
      <c r="J341" s="161"/>
    </row>
    <row r="342" spans="1:10">
      <c r="A342" s="420" t="s">
        <v>181</v>
      </c>
      <c r="B342" s="158" t="s">
        <v>39</v>
      </c>
      <c r="C342" s="309" t="s">
        <v>99</v>
      </c>
      <c r="D342" s="309" t="s">
        <v>214</v>
      </c>
      <c r="E342" s="309" t="s">
        <v>214</v>
      </c>
      <c r="F342" s="309" t="s">
        <v>219</v>
      </c>
      <c r="G342" s="608">
        <v>45707</v>
      </c>
      <c r="H342" s="159">
        <v>1</v>
      </c>
      <c r="I342" s="160"/>
      <c r="J342" s="161"/>
    </row>
    <row r="343" spans="1:10">
      <c r="A343" s="428" t="s">
        <v>203</v>
      </c>
      <c r="B343" s="158" t="s">
        <v>39</v>
      </c>
      <c r="C343" s="309" t="s">
        <v>99</v>
      </c>
      <c r="D343" s="309" t="s">
        <v>214</v>
      </c>
      <c r="E343" s="309" t="s">
        <v>214</v>
      </c>
      <c r="F343" s="309" t="s">
        <v>219</v>
      </c>
      <c r="G343" s="608">
        <v>45714</v>
      </c>
      <c r="H343" s="159">
        <v>1</v>
      </c>
      <c r="I343" s="160"/>
      <c r="J343" s="161"/>
    </row>
    <row r="344" spans="1:10">
      <c r="A344" s="428" t="s">
        <v>203</v>
      </c>
      <c r="B344" s="158" t="s">
        <v>39</v>
      </c>
      <c r="C344" s="309" t="s">
        <v>99</v>
      </c>
      <c r="D344" s="309" t="s">
        <v>214</v>
      </c>
      <c r="E344" s="309" t="s">
        <v>214</v>
      </c>
      <c r="F344" s="309" t="s">
        <v>219</v>
      </c>
      <c r="G344" s="608">
        <v>45715</v>
      </c>
      <c r="H344" s="159">
        <v>1</v>
      </c>
      <c r="I344" s="160"/>
      <c r="J344" s="161"/>
    </row>
    <row r="345" spans="1:10">
      <c r="A345" s="428" t="s">
        <v>203</v>
      </c>
      <c r="B345" s="158" t="s">
        <v>39</v>
      </c>
      <c r="C345" s="309" t="s">
        <v>99</v>
      </c>
      <c r="D345" s="309" t="s">
        <v>214</v>
      </c>
      <c r="E345" s="309" t="s">
        <v>214</v>
      </c>
      <c r="F345" s="309" t="s">
        <v>219</v>
      </c>
      <c r="G345" s="608">
        <v>45716</v>
      </c>
      <c r="H345" s="159">
        <v>1</v>
      </c>
      <c r="I345" s="160"/>
      <c r="J345" s="161"/>
    </row>
    <row r="346" spans="1:10">
      <c r="A346" s="428" t="s">
        <v>203</v>
      </c>
      <c r="B346" s="158" t="s">
        <v>39</v>
      </c>
      <c r="C346" s="309" t="s">
        <v>99</v>
      </c>
      <c r="D346" s="309" t="s">
        <v>214</v>
      </c>
      <c r="E346" s="309" t="s">
        <v>214</v>
      </c>
      <c r="F346" s="309" t="s">
        <v>219</v>
      </c>
      <c r="G346" s="608">
        <v>45721</v>
      </c>
      <c r="H346" s="159">
        <v>1</v>
      </c>
      <c r="I346" s="160"/>
      <c r="J346" s="161"/>
    </row>
    <row r="347" spans="1:10">
      <c r="A347" s="137" t="s">
        <v>147</v>
      </c>
      <c r="B347" s="158" t="s">
        <v>39</v>
      </c>
      <c r="C347" s="309" t="s">
        <v>99</v>
      </c>
      <c r="D347" s="309" t="s">
        <v>214</v>
      </c>
      <c r="E347" s="309" t="s">
        <v>214</v>
      </c>
      <c r="F347" s="309" t="s">
        <v>219</v>
      </c>
      <c r="G347" s="608">
        <v>45688</v>
      </c>
      <c r="H347" s="159">
        <v>1</v>
      </c>
      <c r="I347" s="160"/>
      <c r="J347" s="161"/>
    </row>
    <row r="348" spans="1:10">
      <c r="A348" s="137" t="s">
        <v>147</v>
      </c>
      <c r="B348" s="158" t="s">
        <v>39</v>
      </c>
      <c r="C348" s="309" t="s">
        <v>99</v>
      </c>
      <c r="D348" s="309" t="s">
        <v>214</v>
      </c>
      <c r="E348" s="309" t="s">
        <v>214</v>
      </c>
      <c r="F348" s="309" t="s">
        <v>219</v>
      </c>
      <c r="G348" s="608">
        <v>45691</v>
      </c>
      <c r="H348" s="159">
        <v>1</v>
      </c>
      <c r="I348" s="160"/>
      <c r="J348" s="161"/>
    </row>
    <row r="349" spans="1:10">
      <c r="A349" s="137" t="s">
        <v>147</v>
      </c>
      <c r="B349" s="158" t="s">
        <v>39</v>
      </c>
      <c r="C349" s="309" t="s">
        <v>99</v>
      </c>
      <c r="D349" s="309" t="s">
        <v>214</v>
      </c>
      <c r="E349" s="309" t="s">
        <v>214</v>
      </c>
      <c r="F349" s="309" t="s">
        <v>219</v>
      </c>
      <c r="G349" s="608">
        <v>45692</v>
      </c>
      <c r="H349" s="159">
        <v>1</v>
      </c>
      <c r="I349" s="160"/>
      <c r="J349" s="161"/>
    </row>
    <row r="350" spans="1:10">
      <c r="A350" s="137" t="s">
        <v>147</v>
      </c>
      <c r="B350" s="158" t="s">
        <v>39</v>
      </c>
      <c r="C350" s="309" t="s">
        <v>99</v>
      </c>
      <c r="D350" s="309" t="s">
        <v>214</v>
      </c>
      <c r="E350" s="309" t="s">
        <v>214</v>
      </c>
      <c r="F350" s="309" t="s">
        <v>219</v>
      </c>
      <c r="G350" s="608">
        <v>45693</v>
      </c>
      <c r="H350" s="159">
        <v>1</v>
      </c>
      <c r="I350" s="160"/>
      <c r="J350" s="161"/>
    </row>
    <row r="351" spans="1:10">
      <c r="A351" s="137" t="s">
        <v>147</v>
      </c>
      <c r="B351" s="158" t="s">
        <v>39</v>
      </c>
      <c r="C351" s="309" t="s">
        <v>99</v>
      </c>
      <c r="D351" s="309" t="s">
        <v>214</v>
      </c>
      <c r="E351" s="309" t="s">
        <v>214</v>
      </c>
      <c r="F351" s="309" t="s">
        <v>219</v>
      </c>
      <c r="G351" s="608">
        <v>45694</v>
      </c>
      <c r="H351" s="159">
        <v>1</v>
      </c>
      <c r="I351" s="160"/>
      <c r="J351" s="161"/>
    </row>
    <row r="352" spans="1:10">
      <c r="A352" s="412" t="s">
        <v>164</v>
      </c>
      <c r="B352" s="158" t="s">
        <v>39</v>
      </c>
      <c r="C352" s="309" t="s">
        <v>99</v>
      </c>
      <c r="D352" s="309" t="s">
        <v>214</v>
      </c>
      <c r="E352" s="309" t="s">
        <v>214</v>
      </c>
      <c r="F352" s="309" t="s">
        <v>219</v>
      </c>
      <c r="G352" s="608">
        <v>45698</v>
      </c>
      <c r="H352" s="159">
        <v>1</v>
      </c>
      <c r="I352" s="160"/>
      <c r="J352" s="161"/>
    </row>
    <row r="353" spans="1:10">
      <c r="A353" s="412" t="s">
        <v>164</v>
      </c>
      <c r="B353" s="158" t="s">
        <v>39</v>
      </c>
      <c r="C353" s="309" t="s">
        <v>99</v>
      </c>
      <c r="D353" s="309" t="s">
        <v>214</v>
      </c>
      <c r="E353" s="309" t="s">
        <v>214</v>
      </c>
      <c r="F353" s="309" t="s">
        <v>219</v>
      </c>
      <c r="G353" s="608">
        <v>45699</v>
      </c>
      <c r="H353" s="159">
        <v>1</v>
      </c>
      <c r="I353" s="160"/>
      <c r="J353" s="161"/>
    </row>
    <row r="354" spans="1:10">
      <c r="A354" s="412" t="s">
        <v>164</v>
      </c>
      <c r="B354" s="158" t="s">
        <v>39</v>
      </c>
      <c r="C354" s="309" t="s">
        <v>99</v>
      </c>
      <c r="D354" s="309" t="s">
        <v>214</v>
      </c>
      <c r="E354" s="309" t="s">
        <v>214</v>
      </c>
      <c r="F354" s="309" t="s">
        <v>219</v>
      </c>
      <c r="G354" s="608">
        <v>45700</v>
      </c>
      <c r="H354" s="159">
        <v>1</v>
      </c>
      <c r="I354" s="160"/>
      <c r="J354" s="161"/>
    </row>
    <row r="355" spans="1:10">
      <c r="A355" s="412" t="s">
        <v>164</v>
      </c>
      <c r="B355" s="158" t="s">
        <v>39</v>
      </c>
      <c r="C355" s="309" t="s">
        <v>99</v>
      </c>
      <c r="D355" s="309" t="s">
        <v>214</v>
      </c>
      <c r="E355" s="309" t="s">
        <v>214</v>
      </c>
      <c r="F355" s="309" t="s">
        <v>219</v>
      </c>
      <c r="G355" s="608">
        <v>45701</v>
      </c>
      <c r="H355" s="159">
        <v>1</v>
      </c>
      <c r="I355" s="160"/>
      <c r="J355" s="161"/>
    </row>
    <row r="356" spans="1:10">
      <c r="A356" s="420" t="s">
        <v>181</v>
      </c>
      <c r="B356" s="158" t="s">
        <v>39</v>
      </c>
      <c r="C356" s="309" t="s">
        <v>99</v>
      </c>
      <c r="D356" s="309" t="s">
        <v>214</v>
      </c>
      <c r="E356" s="309" t="s">
        <v>214</v>
      </c>
      <c r="F356" s="309" t="s">
        <v>219</v>
      </c>
      <c r="G356" s="608">
        <v>45702</v>
      </c>
      <c r="H356" s="159">
        <v>1</v>
      </c>
      <c r="I356" s="160"/>
      <c r="J356" s="161"/>
    </row>
    <row r="357" spans="1:10">
      <c r="A357" s="420" t="s">
        <v>181</v>
      </c>
      <c r="B357" s="158" t="s">
        <v>39</v>
      </c>
      <c r="C357" s="309" t="s">
        <v>99</v>
      </c>
      <c r="D357" s="309" t="s">
        <v>214</v>
      </c>
      <c r="E357" s="309" t="s">
        <v>214</v>
      </c>
      <c r="F357" s="309" t="s">
        <v>219</v>
      </c>
      <c r="G357" s="608">
        <v>45705</v>
      </c>
      <c r="H357" s="159">
        <v>1</v>
      </c>
      <c r="I357" s="160"/>
      <c r="J357" s="161"/>
    </row>
    <row r="358" spans="1:10">
      <c r="A358" s="420" t="s">
        <v>181</v>
      </c>
      <c r="B358" s="158" t="s">
        <v>39</v>
      </c>
      <c r="C358" s="309" t="s">
        <v>99</v>
      </c>
      <c r="D358" s="309" t="s">
        <v>214</v>
      </c>
      <c r="E358" s="309" t="s">
        <v>214</v>
      </c>
      <c r="F358" s="309" t="s">
        <v>219</v>
      </c>
      <c r="G358" s="608">
        <v>45706</v>
      </c>
      <c r="H358" s="159">
        <v>1</v>
      </c>
      <c r="I358" s="160"/>
      <c r="J358" s="161"/>
    </row>
    <row r="359" spans="1:10">
      <c r="A359" s="420" t="s">
        <v>181</v>
      </c>
      <c r="B359" s="158" t="s">
        <v>39</v>
      </c>
      <c r="C359" s="309" t="s">
        <v>99</v>
      </c>
      <c r="D359" s="309" t="s">
        <v>214</v>
      </c>
      <c r="E359" s="309" t="s">
        <v>214</v>
      </c>
      <c r="F359" s="309" t="s">
        <v>219</v>
      </c>
      <c r="G359" s="608">
        <v>45707</v>
      </c>
      <c r="H359" s="159">
        <v>1</v>
      </c>
      <c r="I359" s="160"/>
      <c r="J359" s="161"/>
    </row>
    <row r="360" spans="1:10">
      <c r="A360" s="428" t="s">
        <v>203</v>
      </c>
      <c r="B360" s="158" t="s">
        <v>39</v>
      </c>
      <c r="C360" s="309" t="s">
        <v>99</v>
      </c>
      <c r="D360" s="309" t="s">
        <v>214</v>
      </c>
      <c r="E360" s="309" t="s">
        <v>214</v>
      </c>
      <c r="F360" s="309" t="s">
        <v>219</v>
      </c>
      <c r="G360" s="608">
        <v>45714</v>
      </c>
      <c r="H360" s="159">
        <v>1</v>
      </c>
      <c r="I360" s="160"/>
      <c r="J360" s="161"/>
    </row>
    <row r="361" spans="1:10">
      <c r="A361" s="428" t="s">
        <v>203</v>
      </c>
      <c r="B361" s="158" t="s">
        <v>39</v>
      </c>
      <c r="C361" s="309" t="s">
        <v>99</v>
      </c>
      <c r="D361" s="309" t="s">
        <v>214</v>
      </c>
      <c r="E361" s="309" t="s">
        <v>214</v>
      </c>
      <c r="F361" s="309" t="s">
        <v>219</v>
      </c>
      <c r="G361" s="608">
        <v>45715</v>
      </c>
      <c r="H361" s="159">
        <v>1</v>
      </c>
      <c r="I361" s="160"/>
      <c r="J361" s="161"/>
    </row>
    <row r="362" spans="1:10">
      <c r="A362" s="428" t="s">
        <v>203</v>
      </c>
      <c r="B362" s="158" t="s">
        <v>39</v>
      </c>
      <c r="C362" s="309" t="s">
        <v>99</v>
      </c>
      <c r="D362" s="309" t="s">
        <v>214</v>
      </c>
      <c r="E362" s="309" t="s">
        <v>214</v>
      </c>
      <c r="F362" s="309" t="s">
        <v>219</v>
      </c>
      <c r="G362" s="608">
        <v>45716</v>
      </c>
      <c r="H362" s="159">
        <v>1</v>
      </c>
      <c r="I362" s="160"/>
      <c r="J362" s="161"/>
    </row>
    <row r="363" spans="1:10">
      <c r="A363" s="428" t="s">
        <v>203</v>
      </c>
      <c r="B363" s="158" t="s">
        <v>39</v>
      </c>
      <c r="C363" s="309" t="s">
        <v>99</v>
      </c>
      <c r="D363" s="309" t="s">
        <v>214</v>
      </c>
      <c r="E363" s="309" t="s">
        <v>214</v>
      </c>
      <c r="F363" s="309" t="s">
        <v>219</v>
      </c>
      <c r="G363" s="608">
        <v>45721</v>
      </c>
      <c r="H363" s="159">
        <v>1</v>
      </c>
      <c r="I363" s="160"/>
      <c r="J363" s="161"/>
    </row>
    <row r="364" spans="1:10">
      <c r="A364" s="410" t="s">
        <v>159</v>
      </c>
      <c r="B364" s="158" t="s">
        <v>39</v>
      </c>
      <c r="C364" s="309" t="s">
        <v>99</v>
      </c>
      <c r="D364" s="309" t="s">
        <v>214</v>
      </c>
      <c r="E364" s="309" t="s">
        <v>214</v>
      </c>
      <c r="F364" s="309" t="s">
        <v>220</v>
      </c>
      <c r="G364" s="608">
        <v>45694</v>
      </c>
      <c r="H364" s="159">
        <v>1</v>
      </c>
      <c r="I364" s="160"/>
      <c r="J364" s="161"/>
    </row>
    <row r="365" spans="1:10">
      <c r="A365" s="410" t="s">
        <v>159</v>
      </c>
      <c r="B365" s="158" t="s">
        <v>39</v>
      </c>
      <c r="C365" s="309" t="s">
        <v>99</v>
      </c>
      <c r="D365" s="309" t="s">
        <v>214</v>
      </c>
      <c r="E365" s="309" t="s">
        <v>214</v>
      </c>
      <c r="F365" s="309" t="s">
        <v>220</v>
      </c>
      <c r="G365" s="608">
        <v>45695</v>
      </c>
      <c r="H365" s="159">
        <v>1</v>
      </c>
      <c r="I365" s="160"/>
      <c r="J365" s="161"/>
    </row>
    <row r="366" spans="1:10">
      <c r="A366" s="410" t="s">
        <v>159</v>
      </c>
      <c r="B366" s="158" t="s">
        <v>39</v>
      </c>
      <c r="C366" s="309" t="s">
        <v>99</v>
      </c>
      <c r="D366" s="309" t="s">
        <v>214</v>
      </c>
      <c r="E366" s="309" t="s">
        <v>214</v>
      </c>
      <c r="F366" s="309" t="s">
        <v>220</v>
      </c>
      <c r="G366" s="608">
        <v>45698</v>
      </c>
      <c r="H366" s="159">
        <v>1</v>
      </c>
      <c r="I366" s="160"/>
      <c r="J366" s="161"/>
    </row>
    <row r="367" spans="1:10">
      <c r="A367" s="410" t="s">
        <v>159</v>
      </c>
      <c r="B367" s="158" t="s">
        <v>39</v>
      </c>
      <c r="C367" s="309" t="s">
        <v>99</v>
      </c>
      <c r="D367" s="309" t="s">
        <v>214</v>
      </c>
      <c r="E367" s="309" t="s">
        <v>214</v>
      </c>
      <c r="F367" s="309" t="s">
        <v>220</v>
      </c>
      <c r="G367" s="608">
        <v>45699</v>
      </c>
      <c r="H367" s="159">
        <v>1</v>
      </c>
      <c r="I367" s="160"/>
      <c r="J367" s="161"/>
    </row>
    <row r="368" spans="1:10">
      <c r="A368" s="418" t="s">
        <v>177</v>
      </c>
      <c r="B368" s="158" t="s">
        <v>39</v>
      </c>
      <c r="C368" s="309" t="s">
        <v>99</v>
      </c>
      <c r="D368" s="309" t="s">
        <v>214</v>
      </c>
      <c r="E368" s="309" t="s">
        <v>214</v>
      </c>
      <c r="F368" s="309" t="s">
        <v>220</v>
      </c>
      <c r="G368" s="608">
        <v>45702</v>
      </c>
      <c r="H368" s="159">
        <v>1</v>
      </c>
      <c r="I368" s="160"/>
      <c r="J368" s="161"/>
    </row>
    <row r="369" spans="1:10">
      <c r="A369" s="418" t="s">
        <v>177</v>
      </c>
      <c r="B369" s="158" t="s">
        <v>39</v>
      </c>
      <c r="C369" s="309" t="s">
        <v>99</v>
      </c>
      <c r="D369" s="309" t="s">
        <v>214</v>
      </c>
      <c r="E369" s="309" t="s">
        <v>214</v>
      </c>
      <c r="F369" s="309" t="s">
        <v>220</v>
      </c>
      <c r="G369" s="608">
        <v>45705</v>
      </c>
      <c r="H369" s="159">
        <v>1</v>
      </c>
      <c r="I369" s="160"/>
      <c r="J369" s="161"/>
    </row>
    <row r="370" spans="1:10">
      <c r="A370" s="418" t="s">
        <v>177</v>
      </c>
      <c r="B370" s="158" t="s">
        <v>39</v>
      </c>
      <c r="C370" s="309" t="s">
        <v>99</v>
      </c>
      <c r="D370" s="309" t="s">
        <v>214</v>
      </c>
      <c r="E370" s="309" t="s">
        <v>214</v>
      </c>
      <c r="F370" s="309" t="s">
        <v>220</v>
      </c>
      <c r="G370" s="608">
        <v>45706</v>
      </c>
      <c r="H370" s="159">
        <v>1</v>
      </c>
      <c r="I370" s="160"/>
      <c r="J370" s="161"/>
    </row>
    <row r="371" spans="1:10">
      <c r="A371" s="418" t="s">
        <v>177</v>
      </c>
      <c r="B371" s="158" t="s">
        <v>39</v>
      </c>
      <c r="C371" s="309" t="s">
        <v>99</v>
      </c>
      <c r="D371" s="309" t="s">
        <v>214</v>
      </c>
      <c r="E371" s="309" t="s">
        <v>214</v>
      </c>
      <c r="F371" s="309" t="s">
        <v>220</v>
      </c>
      <c r="G371" s="608">
        <v>45707</v>
      </c>
      <c r="H371" s="159">
        <v>1</v>
      </c>
      <c r="I371" s="160"/>
      <c r="J371" s="161"/>
    </row>
    <row r="372" spans="1:10">
      <c r="A372" s="429" t="s">
        <v>205</v>
      </c>
      <c r="B372" s="158" t="s">
        <v>39</v>
      </c>
      <c r="C372" s="309" t="s">
        <v>99</v>
      </c>
      <c r="D372" s="309" t="s">
        <v>214</v>
      </c>
      <c r="E372" s="309" t="s">
        <v>214</v>
      </c>
      <c r="F372" s="309" t="s">
        <v>220</v>
      </c>
      <c r="G372" s="608">
        <v>45714</v>
      </c>
      <c r="H372" s="159">
        <v>1</v>
      </c>
      <c r="I372" s="160"/>
      <c r="J372" s="161"/>
    </row>
    <row r="373" spans="1:10">
      <c r="A373" s="429" t="s">
        <v>205</v>
      </c>
      <c r="B373" s="158" t="s">
        <v>39</v>
      </c>
      <c r="C373" s="309" t="s">
        <v>99</v>
      </c>
      <c r="D373" s="309" t="s">
        <v>214</v>
      </c>
      <c r="E373" s="309" t="s">
        <v>214</v>
      </c>
      <c r="F373" s="309" t="s">
        <v>220</v>
      </c>
      <c r="G373" s="608">
        <v>45715</v>
      </c>
      <c r="H373" s="159">
        <v>1</v>
      </c>
      <c r="I373" s="160"/>
      <c r="J373" s="161"/>
    </row>
    <row r="374" spans="1:10">
      <c r="A374" s="429" t="s">
        <v>205</v>
      </c>
      <c r="B374" s="158" t="s">
        <v>39</v>
      </c>
      <c r="C374" s="309" t="s">
        <v>99</v>
      </c>
      <c r="D374" s="309" t="s">
        <v>214</v>
      </c>
      <c r="E374" s="309" t="s">
        <v>214</v>
      </c>
      <c r="F374" s="309" t="s">
        <v>220</v>
      </c>
      <c r="G374" s="608">
        <v>45716</v>
      </c>
      <c r="H374" s="159">
        <v>1</v>
      </c>
      <c r="I374" s="160"/>
      <c r="J374" s="161"/>
    </row>
    <row r="375" spans="1:10">
      <c r="A375" s="429" t="s">
        <v>205</v>
      </c>
      <c r="B375" s="158" t="s">
        <v>39</v>
      </c>
      <c r="C375" s="309" t="s">
        <v>99</v>
      </c>
      <c r="D375" s="309" t="s">
        <v>214</v>
      </c>
      <c r="E375" s="309" t="s">
        <v>214</v>
      </c>
      <c r="F375" s="309" t="s">
        <v>220</v>
      </c>
      <c r="G375" s="608">
        <v>45721</v>
      </c>
      <c r="H375" s="159">
        <v>1</v>
      </c>
      <c r="I375" s="160"/>
      <c r="J375" s="161"/>
    </row>
    <row r="376" spans="1:10">
      <c r="A376" s="410" t="s">
        <v>159</v>
      </c>
      <c r="B376" s="158" t="s">
        <v>39</v>
      </c>
      <c r="C376" s="309" t="s">
        <v>99</v>
      </c>
      <c r="D376" s="309" t="s">
        <v>214</v>
      </c>
      <c r="E376" s="309" t="s">
        <v>214</v>
      </c>
      <c r="F376" s="309" t="s">
        <v>220</v>
      </c>
      <c r="G376" s="608">
        <v>45694</v>
      </c>
      <c r="H376" s="159">
        <v>1</v>
      </c>
      <c r="I376" s="160"/>
      <c r="J376" s="161"/>
    </row>
    <row r="377" spans="1:10">
      <c r="A377" s="410" t="s">
        <v>159</v>
      </c>
      <c r="B377" s="158" t="s">
        <v>39</v>
      </c>
      <c r="C377" s="309" t="s">
        <v>99</v>
      </c>
      <c r="D377" s="309" t="s">
        <v>214</v>
      </c>
      <c r="E377" s="309" t="s">
        <v>214</v>
      </c>
      <c r="F377" s="309" t="s">
        <v>220</v>
      </c>
      <c r="G377" s="608">
        <v>45695</v>
      </c>
      <c r="H377" s="159">
        <v>1</v>
      </c>
      <c r="I377" s="160"/>
      <c r="J377" s="161"/>
    </row>
    <row r="378" spans="1:10">
      <c r="A378" s="410" t="s">
        <v>159</v>
      </c>
      <c r="B378" s="158" t="s">
        <v>39</v>
      </c>
      <c r="C378" s="309" t="s">
        <v>99</v>
      </c>
      <c r="D378" s="309" t="s">
        <v>214</v>
      </c>
      <c r="E378" s="309" t="s">
        <v>214</v>
      </c>
      <c r="F378" s="309" t="s">
        <v>220</v>
      </c>
      <c r="G378" s="608">
        <v>45698</v>
      </c>
      <c r="H378" s="159">
        <v>1</v>
      </c>
      <c r="I378" s="160"/>
      <c r="J378" s="161"/>
    </row>
    <row r="379" spans="1:10">
      <c r="A379" s="410" t="s">
        <v>159</v>
      </c>
      <c r="B379" s="158" t="s">
        <v>39</v>
      </c>
      <c r="C379" s="309" t="s">
        <v>99</v>
      </c>
      <c r="D379" s="309" t="s">
        <v>214</v>
      </c>
      <c r="E379" s="309" t="s">
        <v>214</v>
      </c>
      <c r="F379" s="309" t="s">
        <v>220</v>
      </c>
      <c r="G379" s="608">
        <v>45699</v>
      </c>
      <c r="H379" s="159">
        <v>1</v>
      </c>
      <c r="I379" s="160"/>
      <c r="J379" s="161"/>
    </row>
    <row r="380" spans="1:10">
      <c r="A380" s="418" t="s">
        <v>177</v>
      </c>
      <c r="B380" s="158" t="s">
        <v>39</v>
      </c>
      <c r="C380" s="309" t="s">
        <v>99</v>
      </c>
      <c r="D380" s="309" t="s">
        <v>214</v>
      </c>
      <c r="E380" s="309" t="s">
        <v>214</v>
      </c>
      <c r="F380" s="309" t="s">
        <v>220</v>
      </c>
      <c r="G380" s="608">
        <v>45702</v>
      </c>
      <c r="H380" s="159">
        <v>1</v>
      </c>
      <c r="I380" s="160"/>
      <c r="J380" s="161"/>
    </row>
    <row r="381" spans="1:10">
      <c r="A381" s="418" t="s">
        <v>177</v>
      </c>
      <c r="B381" s="158" t="s">
        <v>39</v>
      </c>
      <c r="C381" s="309" t="s">
        <v>99</v>
      </c>
      <c r="D381" s="309" t="s">
        <v>214</v>
      </c>
      <c r="E381" s="309" t="s">
        <v>214</v>
      </c>
      <c r="F381" s="309" t="s">
        <v>220</v>
      </c>
      <c r="G381" s="608">
        <v>45705</v>
      </c>
      <c r="H381" s="159">
        <v>1</v>
      </c>
      <c r="I381" s="160"/>
      <c r="J381" s="161"/>
    </row>
    <row r="382" spans="1:10">
      <c r="A382" s="418" t="s">
        <v>177</v>
      </c>
      <c r="B382" s="158" t="s">
        <v>39</v>
      </c>
      <c r="C382" s="309" t="s">
        <v>99</v>
      </c>
      <c r="D382" s="309" t="s">
        <v>214</v>
      </c>
      <c r="E382" s="309" t="s">
        <v>214</v>
      </c>
      <c r="F382" s="309" t="s">
        <v>220</v>
      </c>
      <c r="G382" s="608">
        <v>45706</v>
      </c>
      <c r="H382" s="159">
        <v>1</v>
      </c>
      <c r="I382" s="160"/>
      <c r="J382" s="161"/>
    </row>
    <row r="383" spans="1:10">
      <c r="A383" s="418" t="s">
        <v>177</v>
      </c>
      <c r="B383" s="158" t="s">
        <v>39</v>
      </c>
      <c r="C383" s="309" t="s">
        <v>99</v>
      </c>
      <c r="D383" s="309" t="s">
        <v>214</v>
      </c>
      <c r="E383" s="309" t="s">
        <v>214</v>
      </c>
      <c r="F383" s="309" t="s">
        <v>220</v>
      </c>
      <c r="G383" s="608">
        <v>45707</v>
      </c>
      <c r="H383" s="159">
        <v>1</v>
      </c>
      <c r="I383" s="160"/>
      <c r="J383" s="161"/>
    </row>
    <row r="384" spans="1:10">
      <c r="A384" s="429" t="s">
        <v>205</v>
      </c>
      <c r="B384" s="158" t="s">
        <v>39</v>
      </c>
      <c r="C384" s="309" t="s">
        <v>99</v>
      </c>
      <c r="D384" s="309" t="s">
        <v>214</v>
      </c>
      <c r="E384" s="309" t="s">
        <v>214</v>
      </c>
      <c r="F384" s="309" t="s">
        <v>220</v>
      </c>
      <c r="G384" s="608">
        <v>45714</v>
      </c>
      <c r="H384" s="159">
        <v>1</v>
      </c>
      <c r="I384" s="160"/>
      <c r="J384" s="161"/>
    </row>
    <row r="385" spans="1:10">
      <c r="A385" s="429" t="s">
        <v>205</v>
      </c>
      <c r="B385" s="158" t="s">
        <v>39</v>
      </c>
      <c r="C385" s="309" t="s">
        <v>99</v>
      </c>
      <c r="D385" s="309" t="s">
        <v>214</v>
      </c>
      <c r="E385" s="309" t="s">
        <v>214</v>
      </c>
      <c r="F385" s="309" t="s">
        <v>220</v>
      </c>
      <c r="G385" s="608">
        <v>45715</v>
      </c>
      <c r="H385" s="159">
        <v>1</v>
      </c>
      <c r="I385" s="160"/>
      <c r="J385" s="161"/>
    </row>
    <row r="386" spans="1:10">
      <c r="A386" s="429" t="s">
        <v>205</v>
      </c>
      <c r="B386" s="158" t="s">
        <v>39</v>
      </c>
      <c r="C386" s="309" t="s">
        <v>99</v>
      </c>
      <c r="D386" s="309" t="s">
        <v>214</v>
      </c>
      <c r="E386" s="309" t="s">
        <v>214</v>
      </c>
      <c r="F386" s="309" t="s">
        <v>220</v>
      </c>
      <c r="G386" s="608">
        <v>45716</v>
      </c>
      <c r="H386" s="159">
        <v>1</v>
      </c>
      <c r="I386" s="160"/>
      <c r="J386" s="161"/>
    </row>
    <row r="387" spans="1:10">
      <c r="A387" s="429" t="s">
        <v>205</v>
      </c>
      <c r="B387" s="158" t="s">
        <v>39</v>
      </c>
      <c r="C387" s="309" t="s">
        <v>99</v>
      </c>
      <c r="D387" s="309" t="s">
        <v>214</v>
      </c>
      <c r="E387" s="309" t="s">
        <v>214</v>
      </c>
      <c r="F387" s="309" t="s">
        <v>220</v>
      </c>
      <c r="G387" s="608">
        <v>45721</v>
      </c>
      <c r="H387" s="159">
        <v>1</v>
      </c>
      <c r="I387" s="160"/>
      <c r="J387" s="161"/>
    </row>
    <row r="388" spans="1:10">
      <c r="A388" s="135" t="s">
        <v>139</v>
      </c>
      <c r="B388" s="158" t="s">
        <v>39</v>
      </c>
      <c r="C388" s="309" t="s">
        <v>99</v>
      </c>
      <c r="D388" s="309" t="s">
        <v>214</v>
      </c>
      <c r="E388" s="309" t="s">
        <v>214</v>
      </c>
      <c r="F388" s="309" t="s">
        <v>221</v>
      </c>
      <c r="G388" s="608">
        <v>45688</v>
      </c>
      <c r="H388" s="159">
        <v>1</v>
      </c>
      <c r="I388" s="160"/>
      <c r="J388" s="161"/>
    </row>
    <row r="389" spans="1:10">
      <c r="A389" s="135" t="s">
        <v>139</v>
      </c>
      <c r="B389" s="158" t="s">
        <v>39</v>
      </c>
      <c r="C389" s="309" t="s">
        <v>99</v>
      </c>
      <c r="D389" s="309" t="s">
        <v>214</v>
      </c>
      <c r="E389" s="309" t="s">
        <v>214</v>
      </c>
      <c r="F389" s="309" t="s">
        <v>221</v>
      </c>
      <c r="G389" s="608">
        <v>45691</v>
      </c>
      <c r="H389" s="159">
        <v>1</v>
      </c>
      <c r="I389" s="160"/>
      <c r="J389" s="161"/>
    </row>
    <row r="390" spans="1:10">
      <c r="A390" s="135" t="s">
        <v>139</v>
      </c>
      <c r="B390" s="158" t="s">
        <v>39</v>
      </c>
      <c r="C390" s="309" t="s">
        <v>99</v>
      </c>
      <c r="D390" s="309" t="s">
        <v>214</v>
      </c>
      <c r="E390" s="309" t="s">
        <v>214</v>
      </c>
      <c r="F390" s="309" t="s">
        <v>221</v>
      </c>
      <c r="G390" s="608">
        <v>45692</v>
      </c>
      <c r="H390" s="159">
        <v>1</v>
      </c>
      <c r="I390" s="160"/>
      <c r="J390" s="161"/>
    </row>
    <row r="391" spans="1:10">
      <c r="A391" s="135" t="s">
        <v>139</v>
      </c>
      <c r="B391" s="158" t="s">
        <v>39</v>
      </c>
      <c r="C391" s="309" t="s">
        <v>99</v>
      </c>
      <c r="D391" s="309" t="s">
        <v>214</v>
      </c>
      <c r="E391" s="309" t="s">
        <v>214</v>
      </c>
      <c r="F391" s="309" t="s">
        <v>221</v>
      </c>
      <c r="G391" s="608">
        <v>45693</v>
      </c>
      <c r="H391" s="159">
        <v>1</v>
      </c>
      <c r="I391" s="160"/>
      <c r="J391" s="161"/>
    </row>
    <row r="392" spans="1:10">
      <c r="A392" s="135" t="s">
        <v>139</v>
      </c>
      <c r="B392" s="158" t="s">
        <v>39</v>
      </c>
      <c r="C392" s="309" t="s">
        <v>99</v>
      </c>
      <c r="D392" s="309" t="s">
        <v>214</v>
      </c>
      <c r="E392" s="309" t="s">
        <v>214</v>
      </c>
      <c r="F392" s="309" t="s">
        <v>221</v>
      </c>
      <c r="G392" s="608">
        <v>45694</v>
      </c>
      <c r="H392" s="159">
        <v>1</v>
      </c>
      <c r="I392" s="160"/>
      <c r="J392" s="161"/>
    </row>
    <row r="393" spans="1:10">
      <c r="A393" s="413" t="s">
        <v>167</v>
      </c>
      <c r="B393" s="158" t="s">
        <v>39</v>
      </c>
      <c r="C393" s="309" t="s">
        <v>99</v>
      </c>
      <c r="D393" s="309" t="s">
        <v>214</v>
      </c>
      <c r="E393" s="309" t="s">
        <v>214</v>
      </c>
      <c r="F393" s="309" t="s">
        <v>221</v>
      </c>
      <c r="G393" s="608">
        <v>45698</v>
      </c>
      <c r="H393" s="159">
        <v>1</v>
      </c>
      <c r="I393" s="160"/>
      <c r="J393" s="161"/>
    </row>
    <row r="394" spans="1:10">
      <c r="A394" s="413" t="s">
        <v>167</v>
      </c>
      <c r="B394" s="158" t="s">
        <v>39</v>
      </c>
      <c r="C394" s="309" t="s">
        <v>99</v>
      </c>
      <c r="D394" s="309" t="s">
        <v>214</v>
      </c>
      <c r="E394" s="309" t="s">
        <v>214</v>
      </c>
      <c r="F394" s="309" t="s">
        <v>221</v>
      </c>
      <c r="G394" s="608">
        <v>45699</v>
      </c>
      <c r="H394" s="159">
        <v>1</v>
      </c>
      <c r="I394" s="160"/>
      <c r="J394" s="161"/>
    </row>
    <row r="395" spans="1:10">
      <c r="A395" s="413" t="s">
        <v>167</v>
      </c>
      <c r="B395" s="158" t="s">
        <v>39</v>
      </c>
      <c r="C395" s="309" t="s">
        <v>99</v>
      </c>
      <c r="D395" s="309" t="s">
        <v>214</v>
      </c>
      <c r="E395" s="309" t="s">
        <v>214</v>
      </c>
      <c r="F395" s="309" t="s">
        <v>221</v>
      </c>
      <c r="G395" s="608">
        <v>45700</v>
      </c>
      <c r="H395" s="159">
        <v>1</v>
      </c>
      <c r="I395" s="160"/>
      <c r="J395" s="161"/>
    </row>
    <row r="396" spans="1:10">
      <c r="A396" s="413" t="s">
        <v>167</v>
      </c>
      <c r="B396" s="158" t="s">
        <v>39</v>
      </c>
      <c r="C396" s="309" t="s">
        <v>99</v>
      </c>
      <c r="D396" s="309" t="s">
        <v>214</v>
      </c>
      <c r="E396" s="309" t="s">
        <v>214</v>
      </c>
      <c r="F396" s="309" t="s">
        <v>221</v>
      </c>
      <c r="G396" s="608">
        <v>45701</v>
      </c>
      <c r="H396" s="159">
        <v>1</v>
      </c>
      <c r="I396" s="160"/>
      <c r="J396" s="161"/>
    </row>
    <row r="397" spans="1:10">
      <c r="A397" s="413" t="s">
        <v>167</v>
      </c>
      <c r="B397" s="158" t="s">
        <v>39</v>
      </c>
      <c r="C397" s="309" t="s">
        <v>99</v>
      </c>
      <c r="D397" s="309" t="s">
        <v>214</v>
      </c>
      <c r="E397" s="309" t="s">
        <v>214</v>
      </c>
      <c r="F397" s="309" t="s">
        <v>221</v>
      </c>
      <c r="G397" s="608">
        <v>45702</v>
      </c>
      <c r="H397" s="159">
        <v>1</v>
      </c>
      <c r="I397" s="160"/>
      <c r="J397" s="161"/>
    </row>
    <row r="398" spans="1:10">
      <c r="A398" s="134" t="s">
        <v>197</v>
      </c>
      <c r="B398" s="158" t="s">
        <v>39</v>
      </c>
      <c r="C398" s="309" t="s">
        <v>99</v>
      </c>
      <c r="D398" s="309" t="s">
        <v>214</v>
      </c>
      <c r="E398" s="309" t="s">
        <v>214</v>
      </c>
      <c r="F398" s="309" t="s">
        <v>221</v>
      </c>
      <c r="G398" s="608">
        <v>45712</v>
      </c>
      <c r="H398" s="159">
        <v>1</v>
      </c>
      <c r="I398" s="160"/>
      <c r="J398" s="161"/>
    </row>
    <row r="399" spans="1:10">
      <c r="A399" s="134" t="s">
        <v>197</v>
      </c>
      <c r="B399" s="158" t="s">
        <v>39</v>
      </c>
      <c r="C399" s="309" t="s">
        <v>99</v>
      </c>
      <c r="D399" s="309" t="s">
        <v>214</v>
      </c>
      <c r="E399" s="309" t="s">
        <v>214</v>
      </c>
      <c r="F399" s="309" t="s">
        <v>221</v>
      </c>
      <c r="G399" s="608">
        <v>45713</v>
      </c>
      <c r="H399" s="159">
        <v>1</v>
      </c>
      <c r="I399" s="160"/>
      <c r="J399" s="161"/>
    </row>
    <row r="400" spans="1:10">
      <c r="A400" s="134" t="s">
        <v>197</v>
      </c>
      <c r="B400" s="158" t="s">
        <v>39</v>
      </c>
      <c r="C400" s="309" t="s">
        <v>99</v>
      </c>
      <c r="D400" s="309" t="s">
        <v>214</v>
      </c>
      <c r="E400" s="309" t="s">
        <v>214</v>
      </c>
      <c r="F400" s="309" t="s">
        <v>221</v>
      </c>
      <c r="G400" s="608">
        <v>45714</v>
      </c>
      <c r="H400" s="159">
        <v>1</v>
      </c>
      <c r="I400" s="160"/>
      <c r="J400" s="161"/>
    </row>
    <row r="401" spans="1:10">
      <c r="A401" s="134" t="s">
        <v>197</v>
      </c>
      <c r="B401" s="158" t="s">
        <v>39</v>
      </c>
      <c r="C401" s="309" t="s">
        <v>99</v>
      </c>
      <c r="D401" s="309" t="s">
        <v>214</v>
      </c>
      <c r="E401" s="309" t="s">
        <v>214</v>
      </c>
      <c r="F401" s="309" t="s">
        <v>221</v>
      </c>
      <c r="G401" s="608">
        <v>45715</v>
      </c>
      <c r="H401" s="159">
        <v>1</v>
      </c>
      <c r="I401" s="160"/>
      <c r="J401" s="161"/>
    </row>
    <row r="402" spans="1:10">
      <c r="A402" s="135" t="s">
        <v>139</v>
      </c>
      <c r="B402" s="158" t="s">
        <v>39</v>
      </c>
      <c r="C402" s="309" t="s">
        <v>99</v>
      </c>
      <c r="D402" s="309" t="s">
        <v>214</v>
      </c>
      <c r="E402" s="309" t="s">
        <v>214</v>
      </c>
      <c r="F402" s="309" t="s">
        <v>221</v>
      </c>
      <c r="G402" s="608">
        <v>45688</v>
      </c>
      <c r="H402" s="159">
        <v>1</v>
      </c>
      <c r="I402" s="160"/>
      <c r="J402" s="161"/>
    </row>
    <row r="403" spans="1:10">
      <c r="A403" s="135" t="s">
        <v>139</v>
      </c>
      <c r="B403" s="158" t="s">
        <v>39</v>
      </c>
      <c r="C403" s="309" t="s">
        <v>99</v>
      </c>
      <c r="D403" s="309" t="s">
        <v>214</v>
      </c>
      <c r="E403" s="309" t="s">
        <v>214</v>
      </c>
      <c r="F403" s="309" t="s">
        <v>221</v>
      </c>
      <c r="G403" s="608">
        <v>45691</v>
      </c>
      <c r="H403" s="159">
        <v>1</v>
      </c>
      <c r="I403" s="160"/>
      <c r="J403" s="161"/>
    </row>
    <row r="404" spans="1:10">
      <c r="A404" s="135" t="s">
        <v>139</v>
      </c>
      <c r="B404" s="158" t="s">
        <v>39</v>
      </c>
      <c r="C404" s="309" t="s">
        <v>99</v>
      </c>
      <c r="D404" s="309" t="s">
        <v>214</v>
      </c>
      <c r="E404" s="309" t="s">
        <v>214</v>
      </c>
      <c r="F404" s="309" t="s">
        <v>221</v>
      </c>
      <c r="G404" s="608">
        <v>45692</v>
      </c>
      <c r="H404" s="159">
        <v>1</v>
      </c>
      <c r="I404" s="160"/>
      <c r="J404" s="161"/>
    </row>
    <row r="405" spans="1:10">
      <c r="A405" s="135" t="s">
        <v>139</v>
      </c>
      <c r="B405" s="158" t="s">
        <v>39</v>
      </c>
      <c r="C405" s="309" t="s">
        <v>99</v>
      </c>
      <c r="D405" s="309" t="s">
        <v>214</v>
      </c>
      <c r="E405" s="309" t="s">
        <v>214</v>
      </c>
      <c r="F405" s="309" t="s">
        <v>221</v>
      </c>
      <c r="G405" s="608">
        <v>45693</v>
      </c>
      <c r="H405" s="159">
        <v>1</v>
      </c>
      <c r="I405" s="160"/>
      <c r="J405" s="161"/>
    </row>
    <row r="406" spans="1:10">
      <c r="A406" s="135" t="s">
        <v>139</v>
      </c>
      <c r="B406" s="158" t="s">
        <v>39</v>
      </c>
      <c r="C406" s="309" t="s">
        <v>99</v>
      </c>
      <c r="D406" s="309" t="s">
        <v>214</v>
      </c>
      <c r="E406" s="309" t="s">
        <v>214</v>
      </c>
      <c r="F406" s="309" t="s">
        <v>221</v>
      </c>
      <c r="G406" s="608">
        <v>45694</v>
      </c>
      <c r="H406" s="159">
        <v>1</v>
      </c>
      <c r="I406" s="160"/>
      <c r="J406" s="161"/>
    </row>
    <row r="407" spans="1:10">
      <c r="A407" s="413" t="s">
        <v>167</v>
      </c>
      <c r="B407" s="158" t="s">
        <v>39</v>
      </c>
      <c r="C407" s="309" t="s">
        <v>99</v>
      </c>
      <c r="D407" s="309" t="s">
        <v>214</v>
      </c>
      <c r="E407" s="309" t="s">
        <v>214</v>
      </c>
      <c r="F407" s="309" t="s">
        <v>221</v>
      </c>
      <c r="G407" s="608">
        <v>45698</v>
      </c>
      <c r="H407" s="159">
        <v>1</v>
      </c>
      <c r="I407" s="160"/>
      <c r="J407" s="161"/>
    </row>
    <row r="408" spans="1:10">
      <c r="A408" s="413" t="s">
        <v>167</v>
      </c>
      <c r="B408" s="158" t="s">
        <v>39</v>
      </c>
      <c r="C408" s="309" t="s">
        <v>99</v>
      </c>
      <c r="D408" s="309" t="s">
        <v>214</v>
      </c>
      <c r="E408" s="309" t="s">
        <v>214</v>
      </c>
      <c r="F408" s="309" t="s">
        <v>221</v>
      </c>
      <c r="G408" s="608">
        <v>45699</v>
      </c>
      <c r="H408" s="159">
        <v>1</v>
      </c>
      <c r="I408" s="160"/>
      <c r="J408" s="161"/>
    </row>
    <row r="409" spans="1:10">
      <c r="A409" s="413" t="s">
        <v>167</v>
      </c>
      <c r="B409" s="158" t="s">
        <v>39</v>
      </c>
      <c r="C409" s="309" t="s">
        <v>99</v>
      </c>
      <c r="D409" s="309" t="s">
        <v>214</v>
      </c>
      <c r="E409" s="309" t="s">
        <v>214</v>
      </c>
      <c r="F409" s="309" t="s">
        <v>221</v>
      </c>
      <c r="G409" s="608">
        <v>45700</v>
      </c>
      <c r="H409" s="159">
        <v>1</v>
      </c>
      <c r="I409" s="160"/>
      <c r="J409" s="161"/>
    </row>
    <row r="410" spans="1:10">
      <c r="A410" s="413" t="s">
        <v>167</v>
      </c>
      <c r="B410" s="158" t="s">
        <v>39</v>
      </c>
      <c r="C410" s="309" t="s">
        <v>99</v>
      </c>
      <c r="D410" s="309" t="s">
        <v>214</v>
      </c>
      <c r="E410" s="309" t="s">
        <v>214</v>
      </c>
      <c r="F410" s="309" t="s">
        <v>221</v>
      </c>
      <c r="G410" s="608">
        <v>45701</v>
      </c>
      <c r="H410" s="159">
        <v>1</v>
      </c>
      <c r="I410" s="160"/>
      <c r="J410" s="161"/>
    </row>
    <row r="411" spans="1:10">
      <c r="A411" s="413" t="s">
        <v>167</v>
      </c>
      <c r="B411" s="158" t="s">
        <v>39</v>
      </c>
      <c r="C411" s="309" t="s">
        <v>99</v>
      </c>
      <c r="D411" s="309" t="s">
        <v>214</v>
      </c>
      <c r="E411" s="309" t="s">
        <v>214</v>
      </c>
      <c r="F411" s="309" t="s">
        <v>221</v>
      </c>
      <c r="G411" s="608">
        <v>45702</v>
      </c>
      <c r="H411" s="159">
        <v>1</v>
      </c>
      <c r="I411" s="160"/>
      <c r="J411" s="161"/>
    </row>
    <row r="412" spans="1:10">
      <c r="A412" s="134" t="s">
        <v>197</v>
      </c>
      <c r="B412" s="158" t="s">
        <v>39</v>
      </c>
      <c r="C412" s="309" t="s">
        <v>99</v>
      </c>
      <c r="D412" s="309" t="s">
        <v>214</v>
      </c>
      <c r="E412" s="309" t="s">
        <v>214</v>
      </c>
      <c r="F412" s="309" t="s">
        <v>221</v>
      </c>
      <c r="G412" s="608">
        <v>45712</v>
      </c>
      <c r="H412" s="159">
        <v>1</v>
      </c>
      <c r="I412" s="160"/>
      <c r="J412" s="161"/>
    </row>
    <row r="413" spans="1:10">
      <c r="A413" s="134" t="s">
        <v>197</v>
      </c>
      <c r="B413" s="158" t="s">
        <v>39</v>
      </c>
      <c r="C413" s="309" t="s">
        <v>99</v>
      </c>
      <c r="D413" s="309" t="s">
        <v>214</v>
      </c>
      <c r="E413" s="309" t="s">
        <v>214</v>
      </c>
      <c r="F413" s="309" t="s">
        <v>221</v>
      </c>
      <c r="G413" s="608">
        <v>45713</v>
      </c>
      <c r="H413" s="159">
        <v>1</v>
      </c>
      <c r="I413" s="160"/>
      <c r="J413" s="161"/>
    </row>
    <row r="414" spans="1:10">
      <c r="A414" s="134" t="s">
        <v>197</v>
      </c>
      <c r="B414" s="158" t="s">
        <v>39</v>
      </c>
      <c r="C414" s="309" t="s">
        <v>99</v>
      </c>
      <c r="D414" s="309" t="s">
        <v>214</v>
      </c>
      <c r="E414" s="309" t="s">
        <v>214</v>
      </c>
      <c r="F414" s="309" t="s">
        <v>221</v>
      </c>
      <c r="G414" s="608">
        <v>45714</v>
      </c>
      <c r="H414" s="159">
        <v>1</v>
      </c>
      <c r="I414" s="160"/>
      <c r="J414" s="161"/>
    </row>
    <row r="415" spans="1:10">
      <c r="A415" s="134" t="s">
        <v>197</v>
      </c>
      <c r="B415" s="158" t="s">
        <v>39</v>
      </c>
      <c r="C415" s="309" t="s">
        <v>99</v>
      </c>
      <c r="D415" s="309" t="s">
        <v>214</v>
      </c>
      <c r="E415" s="309" t="s">
        <v>214</v>
      </c>
      <c r="F415" s="309" t="s">
        <v>221</v>
      </c>
      <c r="G415" s="608">
        <v>45715</v>
      </c>
      <c r="H415" s="159">
        <v>1</v>
      </c>
      <c r="I415" s="160"/>
      <c r="J415" s="161"/>
    </row>
  </sheetData>
  <mergeCells count="1">
    <mergeCell ref="A1:G1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DateTasks"/>
  <dimension ref="A1:S92"/>
  <sheetViews>
    <sheetView tabSelected="1" topLeftCell="F40" zoomScaleNormal="100" workbookViewId="0">
      <selection activeCell="J51" sqref="J51"/>
    </sheetView>
  </sheetViews>
  <sheetFormatPr defaultRowHeight="15"/>
  <cols>
    <col min="1" max="1" width="11.5703125" bestFit="1" customWidth="1"/>
    <col min="2" max="2" width="10.28515625" bestFit="1" customWidth="1"/>
    <col min="3" max="3" width="14" bestFit="1" customWidth="1"/>
    <col min="4" max="4" width="15.85546875" bestFit="1" customWidth="1"/>
    <col min="5" max="5" width="9.5703125" bestFit="1" customWidth="1"/>
    <col min="6" max="6" width="25" customWidth="1"/>
    <col min="7" max="7" width="18.140625" bestFit="1" customWidth="1"/>
    <col min="8" max="8" width="12.42578125" bestFit="1" customWidth="1"/>
    <col min="9" max="9" width="9.42578125" bestFit="1" customWidth="1"/>
    <col min="10" max="10" width="13.85546875" bestFit="1" customWidth="1"/>
    <col min="11" max="11" width="14.42578125" bestFit="1" customWidth="1"/>
    <col min="12" max="12" width="12.5703125" bestFit="1" customWidth="1"/>
    <col min="13" max="13" width="10.7109375" bestFit="1" customWidth="1"/>
    <col min="14" max="14" width="10.7109375" customWidth="1"/>
    <col min="15" max="15" width="16.85546875" hidden="1" customWidth="1"/>
    <col min="16" max="16" width="14.28515625" style="1" bestFit="1" customWidth="1"/>
    <col min="17" max="17" width="39.5703125" bestFit="1" customWidth="1"/>
    <col min="18" max="18" width="11.42578125" bestFit="1" customWidth="1"/>
    <col min="19" max="19" width="8" bestFit="1" customWidth="1"/>
  </cols>
  <sheetData>
    <row r="1" spans="1:19" ht="40.5" customHeight="1">
      <c r="A1" s="469"/>
      <c r="B1" s="469"/>
      <c r="C1" s="469"/>
      <c r="D1" s="469"/>
      <c r="E1" s="469"/>
      <c r="F1" s="469"/>
      <c r="G1" s="469"/>
      <c r="H1" s="469"/>
      <c r="I1" s="469"/>
      <c r="J1" s="469"/>
      <c r="K1" s="469"/>
      <c r="L1" s="469"/>
      <c r="M1" s="469"/>
      <c r="N1" s="469"/>
      <c r="O1" s="469"/>
      <c r="P1" s="469"/>
    </row>
    <row r="2" spans="1:19">
      <c r="A2" t="s">
        <v>29</v>
      </c>
      <c r="B2" t="s">
        <v>31</v>
      </c>
      <c r="C2" t="s">
        <v>11</v>
      </c>
      <c r="D2" t="s">
        <v>35</v>
      </c>
      <c r="E2" t="s">
        <v>9</v>
      </c>
      <c r="F2" t="s">
        <v>24</v>
      </c>
      <c r="G2" t="s">
        <v>10</v>
      </c>
      <c r="H2" t="s">
        <v>32</v>
      </c>
      <c r="I2" t="s">
        <v>33</v>
      </c>
      <c r="J2" t="s">
        <v>26</v>
      </c>
      <c r="K2" t="s">
        <v>36</v>
      </c>
      <c r="L2" t="s">
        <v>37</v>
      </c>
      <c r="M2" s="1" t="s">
        <v>38</v>
      </c>
      <c r="N2" t="s">
        <v>34</v>
      </c>
      <c r="O2" t="s">
        <v>45</v>
      </c>
      <c r="P2" s="1" t="s">
        <v>60</v>
      </c>
      <c r="Q2" t="s">
        <v>62</v>
      </c>
      <c r="R2" t="s">
        <v>88</v>
      </c>
      <c r="S2" t="s">
        <v>73</v>
      </c>
    </row>
    <row r="3" spans="1:19">
      <c r="A3" s="359" t="s">
        <v>139</v>
      </c>
      <c r="B3" s="1"/>
      <c r="C3" s="1" t="s">
        <v>99</v>
      </c>
      <c r="D3" s="1" t="s">
        <v>25</v>
      </c>
      <c r="E3" s="1" t="s">
        <v>27</v>
      </c>
      <c r="F3" s="1" t="s">
        <v>27</v>
      </c>
      <c r="G3" s="1" t="s">
        <v>209</v>
      </c>
      <c r="H3">
        <v>1</v>
      </c>
      <c r="I3">
        <v>2</v>
      </c>
      <c r="J3">
        <v>2</v>
      </c>
      <c r="K3">
        <v>1</v>
      </c>
      <c r="L3">
        <v>2</v>
      </c>
      <c r="M3" s="1">
        <v>45686</v>
      </c>
      <c r="N3" s="1">
        <v>45686</v>
      </c>
    </row>
    <row r="4" spans="1:19">
      <c r="A4" s="144" t="s">
        <v>139</v>
      </c>
      <c r="B4" s="1"/>
      <c r="C4" s="1" t="s">
        <v>99</v>
      </c>
      <c r="D4" s="1" t="s">
        <v>102</v>
      </c>
      <c r="E4" s="1" t="s">
        <v>210</v>
      </c>
      <c r="F4" s="1" t="s">
        <v>102</v>
      </c>
      <c r="G4" s="1" t="s">
        <v>213</v>
      </c>
      <c r="H4" s="139">
        <v>2</v>
      </c>
      <c r="I4" s="139">
        <v>4</v>
      </c>
      <c r="J4" s="139">
        <v>4</v>
      </c>
      <c r="K4" s="139">
        <v>1</v>
      </c>
      <c r="L4" s="139">
        <v>4</v>
      </c>
      <c r="M4" s="1">
        <v>45686</v>
      </c>
      <c r="N4" s="140">
        <v>45687</v>
      </c>
      <c r="O4" s="141"/>
      <c r="P4" s="142"/>
    </row>
    <row r="5" spans="1:19">
      <c r="A5" s="144" t="s">
        <v>139</v>
      </c>
      <c r="B5" s="1"/>
      <c r="C5" s="1" t="s">
        <v>99</v>
      </c>
      <c r="D5" s="1" t="s">
        <v>39</v>
      </c>
      <c r="E5" s="1" t="s">
        <v>214</v>
      </c>
      <c r="F5" s="1" t="s">
        <v>214</v>
      </c>
      <c r="G5" s="1" t="s">
        <v>221</v>
      </c>
      <c r="H5" s="139">
        <v>3</v>
      </c>
      <c r="I5" s="139">
        <v>10</v>
      </c>
      <c r="J5" s="139">
        <v>10</v>
      </c>
      <c r="K5" s="139">
        <v>1</v>
      </c>
      <c r="L5" s="139">
        <v>10</v>
      </c>
      <c r="M5" s="1">
        <v>45688</v>
      </c>
      <c r="N5" s="140">
        <v>45694</v>
      </c>
      <c r="O5" s="141"/>
      <c r="P5" s="142"/>
      <c r="R5">
        <v>16</v>
      </c>
      <c r="S5">
        <v>16</v>
      </c>
    </row>
    <row r="6" spans="1:19">
      <c r="A6" s="145" t="s">
        <v>144</v>
      </c>
      <c r="B6" s="1"/>
      <c r="C6" s="1" t="s">
        <v>99</v>
      </c>
      <c r="D6" s="1" t="s">
        <v>25</v>
      </c>
      <c r="E6" s="1" t="s">
        <v>27</v>
      </c>
      <c r="F6" s="1" t="s">
        <v>27</v>
      </c>
      <c r="G6" s="1" t="s">
        <v>209</v>
      </c>
      <c r="H6" s="139">
        <v>1</v>
      </c>
      <c r="I6" s="139">
        <v>2</v>
      </c>
      <c r="J6" s="139">
        <v>2</v>
      </c>
      <c r="K6" s="139">
        <v>1</v>
      </c>
      <c r="L6" s="139">
        <v>2</v>
      </c>
      <c r="M6" s="1">
        <v>45687</v>
      </c>
      <c r="N6" s="140">
        <v>45687</v>
      </c>
      <c r="O6" s="141"/>
      <c r="P6" s="142"/>
    </row>
    <row r="7" spans="1:19">
      <c r="A7" s="145" t="s">
        <v>144</v>
      </c>
      <c r="B7" s="1"/>
      <c r="C7" s="1" t="s">
        <v>99</v>
      </c>
      <c r="D7" s="1" t="s">
        <v>102</v>
      </c>
      <c r="E7" s="1" t="s">
        <v>210</v>
      </c>
      <c r="F7" s="1" t="s">
        <v>102</v>
      </c>
      <c r="G7" s="1" t="s">
        <v>212</v>
      </c>
      <c r="H7" s="139">
        <v>2</v>
      </c>
      <c r="I7" s="139">
        <v>4</v>
      </c>
      <c r="J7" s="139">
        <v>4</v>
      </c>
      <c r="K7" s="139">
        <v>1</v>
      </c>
      <c r="L7" s="139">
        <v>4</v>
      </c>
      <c r="M7" s="1">
        <v>45686</v>
      </c>
      <c r="N7" s="140">
        <v>45687</v>
      </c>
      <c r="O7" s="141"/>
      <c r="P7" s="142"/>
    </row>
    <row r="8" spans="1:19">
      <c r="A8" s="145" t="s">
        <v>144</v>
      </c>
      <c r="B8" s="1"/>
      <c r="C8" s="1" t="s">
        <v>99</v>
      </c>
      <c r="D8" s="1" t="s">
        <v>39</v>
      </c>
      <c r="E8" s="1" t="s">
        <v>214</v>
      </c>
      <c r="F8" s="1" t="s">
        <v>214</v>
      </c>
      <c r="G8" s="1" t="s">
        <v>217</v>
      </c>
      <c r="H8" s="139">
        <v>3</v>
      </c>
      <c r="I8" s="139">
        <v>8</v>
      </c>
      <c r="J8" s="139">
        <v>8</v>
      </c>
      <c r="K8" s="139">
        <v>1</v>
      </c>
      <c r="L8" s="139">
        <v>8</v>
      </c>
      <c r="M8" s="1">
        <v>45688</v>
      </c>
      <c r="N8" s="140">
        <v>45693</v>
      </c>
      <c r="O8" s="141"/>
      <c r="P8" s="142"/>
      <c r="R8">
        <v>14</v>
      </c>
      <c r="S8">
        <v>14</v>
      </c>
    </row>
    <row r="9" spans="1:19">
      <c r="A9" s="146" t="s">
        <v>147</v>
      </c>
      <c r="B9" s="1"/>
      <c r="C9" s="1" t="s">
        <v>99</v>
      </c>
      <c r="D9" s="1" t="s">
        <v>25</v>
      </c>
      <c r="E9" s="1" t="s">
        <v>27</v>
      </c>
      <c r="F9" s="1" t="s">
        <v>27</v>
      </c>
      <c r="G9" s="1" t="s">
        <v>209</v>
      </c>
      <c r="H9" s="139">
        <v>1</v>
      </c>
      <c r="I9" s="139">
        <v>2</v>
      </c>
      <c r="J9" s="139">
        <v>2</v>
      </c>
      <c r="K9" s="139">
        <v>1</v>
      </c>
      <c r="L9" s="139">
        <v>2</v>
      </c>
      <c r="M9" s="1">
        <v>45688</v>
      </c>
      <c r="N9" s="140">
        <v>45688</v>
      </c>
      <c r="O9" s="141"/>
      <c r="P9" s="142"/>
    </row>
    <row r="10" spans="1:19">
      <c r="A10" s="146" t="s">
        <v>147</v>
      </c>
      <c r="B10" s="1"/>
      <c r="C10" s="1" t="s">
        <v>99</v>
      </c>
      <c r="D10" s="1" t="s">
        <v>102</v>
      </c>
      <c r="E10" s="1" t="s">
        <v>210</v>
      </c>
      <c r="F10" s="1" t="s">
        <v>102</v>
      </c>
      <c r="G10" s="1" t="s">
        <v>211</v>
      </c>
      <c r="H10" s="139">
        <v>2</v>
      </c>
      <c r="I10" s="139">
        <v>4</v>
      </c>
      <c r="J10" s="139">
        <v>4</v>
      </c>
      <c r="K10" s="139">
        <v>1</v>
      </c>
      <c r="L10" s="139">
        <v>4</v>
      </c>
      <c r="M10" s="1">
        <v>45686</v>
      </c>
      <c r="N10" s="140">
        <v>45687</v>
      </c>
      <c r="O10" s="141"/>
      <c r="P10" s="142"/>
    </row>
    <row r="11" spans="1:19">
      <c r="A11" s="146" t="s">
        <v>147</v>
      </c>
      <c r="B11" s="1"/>
      <c r="C11" s="1" t="s">
        <v>99</v>
      </c>
      <c r="D11" s="1" t="s">
        <v>39</v>
      </c>
      <c r="E11" s="1" t="s">
        <v>214</v>
      </c>
      <c r="F11" s="1" t="s">
        <v>214</v>
      </c>
      <c r="G11" s="1" t="s">
        <v>219</v>
      </c>
      <c r="H11" s="139">
        <v>3</v>
      </c>
      <c r="I11" s="139">
        <v>10</v>
      </c>
      <c r="J11" s="139">
        <v>10</v>
      </c>
      <c r="K11" s="139">
        <v>1</v>
      </c>
      <c r="L11" s="139">
        <v>10</v>
      </c>
      <c r="M11" s="1">
        <v>45688</v>
      </c>
      <c r="N11" s="140">
        <v>45694</v>
      </c>
      <c r="O11" s="141"/>
      <c r="P11" s="142"/>
      <c r="R11">
        <v>16</v>
      </c>
      <c r="S11">
        <v>16</v>
      </c>
    </row>
    <row r="12" spans="1:19">
      <c r="A12" s="143" t="s">
        <v>149</v>
      </c>
      <c r="B12" s="1"/>
      <c r="C12" s="1" t="s">
        <v>99</v>
      </c>
      <c r="D12" s="1" t="s">
        <v>25</v>
      </c>
      <c r="E12" s="1" t="s">
        <v>27</v>
      </c>
      <c r="F12" s="1" t="s">
        <v>27</v>
      </c>
      <c r="G12" s="1" t="s">
        <v>209</v>
      </c>
      <c r="H12" s="139">
        <v>1</v>
      </c>
      <c r="I12" s="139">
        <v>2</v>
      </c>
      <c r="J12" s="139">
        <v>2</v>
      </c>
      <c r="K12" s="139">
        <v>1</v>
      </c>
      <c r="L12" s="139">
        <v>2</v>
      </c>
      <c r="M12" s="1">
        <v>45691</v>
      </c>
      <c r="N12" s="140">
        <v>45691</v>
      </c>
      <c r="O12" s="141"/>
      <c r="P12" s="142"/>
    </row>
    <row r="13" spans="1:19">
      <c r="A13" s="143" t="s">
        <v>149</v>
      </c>
      <c r="B13" s="1"/>
      <c r="C13" s="1" t="s">
        <v>99</v>
      </c>
      <c r="D13" s="1" t="s">
        <v>102</v>
      </c>
      <c r="E13" s="1" t="s">
        <v>210</v>
      </c>
      <c r="F13" s="1" t="s">
        <v>102</v>
      </c>
      <c r="G13" s="1" t="s">
        <v>213</v>
      </c>
      <c r="H13" s="139">
        <v>2</v>
      </c>
      <c r="I13" s="139">
        <v>4</v>
      </c>
      <c r="J13" s="139">
        <v>4</v>
      </c>
      <c r="K13" s="139">
        <v>1</v>
      </c>
      <c r="L13" s="139">
        <v>4</v>
      </c>
      <c r="M13" s="1">
        <v>45688</v>
      </c>
      <c r="N13" s="140">
        <v>45691</v>
      </c>
      <c r="O13" s="141"/>
      <c r="P13" s="142"/>
    </row>
    <row r="14" spans="1:19">
      <c r="A14" s="143" t="s">
        <v>149</v>
      </c>
      <c r="B14" s="1"/>
      <c r="C14" s="1" t="s">
        <v>99</v>
      </c>
      <c r="D14" s="1" t="s">
        <v>39</v>
      </c>
      <c r="E14" s="1" t="s">
        <v>214</v>
      </c>
      <c r="F14" s="1" t="s">
        <v>214</v>
      </c>
      <c r="G14" s="1" t="s">
        <v>215</v>
      </c>
      <c r="H14" s="139">
        <v>3</v>
      </c>
      <c r="I14" s="139">
        <v>10</v>
      </c>
      <c r="J14" s="139">
        <v>10</v>
      </c>
      <c r="K14" s="139">
        <v>1</v>
      </c>
      <c r="L14" s="139">
        <v>10</v>
      </c>
      <c r="M14" s="1">
        <v>45692</v>
      </c>
      <c r="N14" s="140">
        <v>45698</v>
      </c>
      <c r="O14" s="141"/>
      <c r="P14" s="142"/>
      <c r="R14">
        <v>16</v>
      </c>
      <c r="S14">
        <v>16</v>
      </c>
    </row>
    <row r="15" spans="1:19">
      <c r="A15" s="147" t="s">
        <v>152</v>
      </c>
      <c r="B15" s="1"/>
      <c r="C15" s="1" t="s">
        <v>99</v>
      </c>
      <c r="D15" s="1" t="s">
        <v>25</v>
      </c>
      <c r="E15" s="1" t="s">
        <v>27</v>
      </c>
      <c r="F15" s="1" t="s">
        <v>27</v>
      </c>
      <c r="G15" s="1" t="s">
        <v>209</v>
      </c>
      <c r="H15" s="139">
        <v>1</v>
      </c>
      <c r="I15" s="139">
        <v>2</v>
      </c>
      <c r="J15" s="139">
        <v>2</v>
      </c>
      <c r="K15" s="139">
        <v>1</v>
      </c>
      <c r="L15" s="139">
        <v>2</v>
      </c>
      <c r="M15" s="1">
        <v>45692</v>
      </c>
      <c r="N15" s="140">
        <v>45692</v>
      </c>
      <c r="O15" s="141"/>
      <c r="P15" s="142"/>
    </row>
    <row r="16" spans="1:19">
      <c r="A16" s="147" t="s">
        <v>152</v>
      </c>
      <c r="B16" s="1"/>
      <c r="C16" s="1" t="s">
        <v>99</v>
      </c>
      <c r="D16" s="1" t="s">
        <v>102</v>
      </c>
      <c r="E16" s="1" t="s">
        <v>210</v>
      </c>
      <c r="F16" s="1" t="s">
        <v>102</v>
      </c>
      <c r="G16" s="1" t="s">
        <v>212</v>
      </c>
      <c r="H16" s="139">
        <v>2</v>
      </c>
      <c r="I16" s="139">
        <v>4</v>
      </c>
      <c r="J16" s="139">
        <v>4</v>
      </c>
      <c r="K16" s="139">
        <v>1</v>
      </c>
      <c r="L16" s="139">
        <v>4</v>
      </c>
      <c r="M16" s="1">
        <v>45688</v>
      </c>
      <c r="N16" s="140">
        <v>45691</v>
      </c>
      <c r="O16" s="141"/>
      <c r="P16" s="142"/>
    </row>
    <row r="17" spans="1:19">
      <c r="A17" s="147" t="s">
        <v>152</v>
      </c>
      <c r="B17" s="1"/>
      <c r="C17" s="1" t="s">
        <v>99</v>
      </c>
      <c r="D17" s="1" t="s">
        <v>39</v>
      </c>
      <c r="E17" s="1" t="s">
        <v>214</v>
      </c>
      <c r="F17" s="1" t="s">
        <v>214</v>
      </c>
      <c r="G17" s="1" t="s">
        <v>216</v>
      </c>
      <c r="H17" s="139">
        <v>3</v>
      </c>
      <c r="I17" s="139">
        <v>10</v>
      </c>
      <c r="J17" s="139">
        <v>10</v>
      </c>
      <c r="K17" s="139">
        <v>1</v>
      </c>
      <c r="L17" s="139">
        <v>10</v>
      </c>
      <c r="M17" s="1">
        <v>45692</v>
      </c>
      <c r="N17" s="140">
        <v>45698</v>
      </c>
      <c r="O17" s="141"/>
      <c r="P17" s="142"/>
      <c r="R17">
        <v>16</v>
      </c>
      <c r="S17">
        <v>16</v>
      </c>
    </row>
    <row r="18" spans="1:19">
      <c r="A18" s="148" t="s">
        <v>154</v>
      </c>
      <c r="B18" s="1"/>
      <c r="C18" s="1" t="s">
        <v>99</v>
      </c>
      <c r="D18" s="1" t="s">
        <v>25</v>
      </c>
      <c r="E18" s="1" t="s">
        <v>27</v>
      </c>
      <c r="F18" s="1" t="s">
        <v>27</v>
      </c>
      <c r="G18" s="1" t="s">
        <v>209</v>
      </c>
      <c r="H18" s="139">
        <v>1</v>
      </c>
      <c r="I18" s="139">
        <v>2</v>
      </c>
      <c r="J18" s="139">
        <v>2</v>
      </c>
      <c r="K18" s="139">
        <v>1</v>
      </c>
      <c r="L18" s="139">
        <v>2</v>
      </c>
      <c r="M18" s="1">
        <v>45693</v>
      </c>
      <c r="N18" s="140">
        <v>45693</v>
      </c>
      <c r="O18" s="141"/>
      <c r="P18" s="142"/>
    </row>
    <row r="19" spans="1:19">
      <c r="A19" s="148" t="s">
        <v>154</v>
      </c>
      <c r="B19" s="1"/>
      <c r="C19" s="1" t="s">
        <v>99</v>
      </c>
      <c r="D19" s="1" t="s">
        <v>102</v>
      </c>
      <c r="E19" s="1" t="s">
        <v>210</v>
      </c>
      <c r="F19" s="1" t="s">
        <v>102</v>
      </c>
      <c r="G19" s="1" t="s">
        <v>211</v>
      </c>
      <c r="H19" s="139">
        <v>2</v>
      </c>
      <c r="I19" s="139">
        <v>4</v>
      </c>
      <c r="J19" s="139">
        <v>4</v>
      </c>
      <c r="K19" s="139">
        <v>1</v>
      </c>
      <c r="L19" s="139">
        <v>4</v>
      </c>
      <c r="M19" s="1">
        <v>45688</v>
      </c>
      <c r="N19" s="140">
        <v>45691</v>
      </c>
      <c r="O19" s="141"/>
      <c r="P19" s="142"/>
    </row>
    <row r="20" spans="1:19">
      <c r="A20" s="148" t="s">
        <v>154</v>
      </c>
      <c r="B20" s="1"/>
      <c r="C20" s="1" t="s">
        <v>99</v>
      </c>
      <c r="D20" s="1" t="s">
        <v>39</v>
      </c>
      <c r="E20" s="1" t="s">
        <v>214</v>
      </c>
      <c r="F20" s="1" t="s">
        <v>214</v>
      </c>
      <c r="G20" s="1" t="s">
        <v>216</v>
      </c>
      <c r="H20" s="139">
        <v>3</v>
      </c>
      <c r="I20" s="139">
        <v>10</v>
      </c>
      <c r="J20" s="139">
        <v>10</v>
      </c>
      <c r="K20" s="139">
        <v>1</v>
      </c>
      <c r="L20" s="139">
        <v>10</v>
      </c>
      <c r="M20" s="1">
        <v>45714</v>
      </c>
      <c r="N20" s="140">
        <v>45722</v>
      </c>
      <c r="O20" s="141"/>
      <c r="P20" s="142"/>
      <c r="R20">
        <v>16</v>
      </c>
      <c r="S20">
        <v>16</v>
      </c>
    </row>
    <row r="21" spans="1:19">
      <c r="A21" s="149" t="s">
        <v>157</v>
      </c>
      <c r="B21" s="1"/>
      <c r="C21" s="1" t="s">
        <v>99</v>
      </c>
      <c r="D21" s="1" t="s">
        <v>25</v>
      </c>
      <c r="E21" s="1" t="s">
        <v>27</v>
      </c>
      <c r="F21" s="1" t="s">
        <v>27</v>
      </c>
      <c r="G21" s="1" t="s">
        <v>209</v>
      </c>
      <c r="H21" s="139">
        <v>1</v>
      </c>
      <c r="I21" s="139">
        <v>2</v>
      </c>
      <c r="J21" s="139">
        <v>2</v>
      </c>
      <c r="K21" s="139">
        <v>1</v>
      </c>
      <c r="L21" s="139">
        <v>2</v>
      </c>
      <c r="M21" s="1">
        <v>45694</v>
      </c>
      <c r="N21" s="140">
        <v>45694</v>
      </c>
      <c r="O21" s="141"/>
      <c r="P21" s="142"/>
    </row>
    <row r="22" spans="1:19">
      <c r="A22" s="149" t="s">
        <v>157</v>
      </c>
      <c r="B22" s="1"/>
      <c r="C22" s="1" t="s">
        <v>99</v>
      </c>
      <c r="D22" s="1" t="s">
        <v>102</v>
      </c>
      <c r="E22" s="1" t="s">
        <v>210</v>
      </c>
      <c r="F22" s="1" t="s">
        <v>102</v>
      </c>
      <c r="G22" s="1" t="s">
        <v>213</v>
      </c>
      <c r="H22" s="139">
        <v>2</v>
      </c>
      <c r="I22" s="139">
        <v>4</v>
      </c>
      <c r="J22" s="139">
        <v>4</v>
      </c>
      <c r="K22" s="139">
        <v>1</v>
      </c>
      <c r="L22" s="139">
        <v>4</v>
      </c>
      <c r="M22" s="1">
        <v>45692</v>
      </c>
      <c r="N22" s="140">
        <v>45693</v>
      </c>
      <c r="O22" s="141"/>
      <c r="P22" s="142"/>
    </row>
    <row r="23" spans="1:19">
      <c r="A23" s="149" t="s">
        <v>157</v>
      </c>
      <c r="B23" s="1"/>
      <c r="C23" s="1" t="s">
        <v>99</v>
      </c>
      <c r="D23" s="1" t="s">
        <v>39</v>
      </c>
      <c r="E23" s="1" t="s">
        <v>214</v>
      </c>
      <c r="F23" s="1" t="s">
        <v>214</v>
      </c>
      <c r="G23" s="1" t="s">
        <v>116</v>
      </c>
      <c r="H23" s="139">
        <v>3</v>
      </c>
      <c r="I23" s="139">
        <v>8</v>
      </c>
      <c r="J23" s="139">
        <v>8</v>
      </c>
      <c r="K23" s="139">
        <v>1</v>
      </c>
      <c r="L23" s="139">
        <v>8</v>
      </c>
      <c r="M23" s="1">
        <v>45694</v>
      </c>
      <c r="N23" s="140">
        <v>45699</v>
      </c>
      <c r="O23" s="141"/>
      <c r="P23" s="142"/>
      <c r="R23">
        <v>14</v>
      </c>
      <c r="S23">
        <v>14</v>
      </c>
    </row>
    <row r="24" spans="1:19">
      <c r="A24" s="152" t="s">
        <v>159</v>
      </c>
      <c r="B24" s="1"/>
      <c r="C24" s="1" t="s">
        <v>99</v>
      </c>
      <c r="D24" s="1" t="s">
        <v>25</v>
      </c>
      <c r="E24" s="1" t="s">
        <v>27</v>
      </c>
      <c r="F24" s="1" t="s">
        <v>27</v>
      </c>
      <c r="G24" s="1" t="s">
        <v>209</v>
      </c>
      <c r="H24" s="139">
        <v>1</v>
      </c>
      <c r="I24" s="139">
        <v>2</v>
      </c>
      <c r="J24" s="139">
        <v>2</v>
      </c>
      <c r="K24" s="139">
        <v>1</v>
      </c>
      <c r="L24" s="139">
        <v>2</v>
      </c>
      <c r="M24" s="1">
        <v>45695</v>
      </c>
      <c r="N24" s="140">
        <v>45695</v>
      </c>
      <c r="O24" s="141"/>
      <c r="P24" s="142"/>
    </row>
    <row r="25" spans="1:19">
      <c r="A25" s="152" t="s">
        <v>159</v>
      </c>
      <c r="B25" s="1"/>
      <c r="C25" s="1" t="s">
        <v>99</v>
      </c>
      <c r="D25" s="1" t="s">
        <v>102</v>
      </c>
      <c r="E25" s="1" t="s">
        <v>210</v>
      </c>
      <c r="F25" s="1" t="s">
        <v>102</v>
      </c>
      <c r="G25" s="1" t="s">
        <v>211</v>
      </c>
      <c r="H25" s="139">
        <v>2</v>
      </c>
      <c r="I25" s="139">
        <v>4</v>
      </c>
      <c r="J25" s="139">
        <v>4</v>
      </c>
      <c r="K25" s="139">
        <v>1</v>
      </c>
      <c r="L25" s="139">
        <v>4</v>
      </c>
      <c r="M25" s="1">
        <v>45692</v>
      </c>
      <c r="N25" s="140">
        <v>45693</v>
      </c>
      <c r="O25" s="141"/>
      <c r="P25" s="142"/>
    </row>
    <row r="26" spans="1:19">
      <c r="A26" s="152" t="s">
        <v>159</v>
      </c>
      <c r="B26" s="1"/>
      <c r="C26" s="1" t="s">
        <v>99</v>
      </c>
      <c r="D26" s="1" t="s">
        <v>39</v>
      </c>
      <c r="E26" s="1" t="s">
        <v>214</v>
      </c>
      <c r="F26" s="1" t="s">
        <v>214</v>
      </c>
      <c r="G26" s="1" t="s">
        <v>220</v>
      </c>
      <c r="H26" s="139">
        <v>3</v>
      </c>
      <c r="I26" s="139">
        <v>8</v>
      </c>
      <c r="J26" s="139">
        <v>8</v>
      </c>
      <c r="K26" s="139">
        <v>1</v>
      </c>
      <c r="L26" s="139">
        <v>8</v>
      </c>
      <c r="M26" s="1">
        <v>45694</v>
      </c>
      <c r="N26" s="140">
        <v>45699</v>
      </c>
      <c r="O26" s="141"/>
      <c r="P26" s="142"/>
      <c r="R26">
        <v>14</v>
      </c>
      <c r="S26">
        <v>14</v>
      </c>
    </row>
    <row r="27" spans="1:19">
      <c r="A27" s="155" t="s">
        <v>162</v>
      </c>
      <c r="B27" s="1"/>
      <c r="C27" s="1" t="s">
        <v>99</v>
      </c>
      <c r="D27" s="1" t="s">
        <v>25</v>
      </c>
      <c r="E27" s="1" t="s">
        <v>27</v>
      </c>
      <c r="F27" s="1" t="s">
        <v>27</v>
      </c>
      <c r="G27" s="1" t="s">
        <v>209</v>
      </c>
      <c r="H27" s="139">
        <v>1</v>
      </c>
      <c r="I27" s="139">
        <v>2</v>
      </c>
      <c r="J27" s="139">
        <v>2</v>
      </c>
      <c r="K27" s="139">
        <v>1</v>
      </c>
      <c r="L27" s="139">
        <v>2</v>
      </c>
      <c r="M27" s="1">
        <v>45698</v>
      </c>
      <c r="N27" s="140">
        <v>45698</v>
      </c>
      <c r="O27" s="141"/>
      <c r="P27" s="142"/>
    </row>
    <row r="28" spans="1:19">
      <c r="A28" s="155" t="s">
        <v>162</v>
      </c>
      <c r="B28" s="1"/>
      <c r="C28" s="1" t="s">
        <v>99</v>
      </c>
      <c r="D28" s="1" t="s">
        <v>102</v>
      </c>
      <c r="E28" s="1" t="s">
        <v>210</v>
      </c>
      <c r="F28" s="1" t="s">
        <v>102</v>
      </c>
      <c r="G28" s="1" t="s">
        <v>212</v>
      </c>
      <c r="H28" s="139">
        <v>2</v>
      </c>
      <c r="I28" s="139">
        <v>4</v>
      </c>
      <c r="J28" s="139">
        <v>4</v>
      </c>
      <c r="K28" s="139">
        <v>1</v>
      </c>
      <c r="L28" s="139">
        <v>4</v>
      </c>
      <c r="M28" s="1">
        <v>45692</v>
      </c>
      <c r="N28" s="140">
        <v>45693</v>
      </c>
      <c r="O28" s="141"/>
      <c r="P28" s="142"/>
    </row>
    <row r="29" spans="1:19">
      <c r="A29" s="155" t="s">
        <v>162</v>
      </c>
      <c r="B29" s="1"/>
      <c r="C29" s="1" t="s">
        <v>99</v>
      </c>
      <c r="D29" s="1" t="s">
        <v>39</v>
      </c>
      <c r="E29" s="1" t="s">
        <v>214</v>
      </c>
      <c r="F29" s="1" t="s">
        <v>214</v>
      </c>
      <c r="G29" s="1" t="s">
        <v>217</v>
      </c>
      <c r="H29" s="139">
        <v>3</v>
      </c>
      <c r="I29" s="139">
        <v>8</v>
      </c>
      <c r="J29" s="139">
        <v>8</v>
      </c>
      <c r="K29" s="139">
        <v>1</v>
      </c>
      <c r="L29" s="139">
        <v>8</v>
      </c>
      <c r="M29" s="1">
        <v>45694</v>
      </c>
      <c r="N29" s="140">
        <v>45699</v>
      </c>
      <c r="O29" s="141"/>
      <c r="P29" s="142"/>
      <c r="R29">
        <v>14</v>
      </c>
      <c r="S29">
        <v>14</v>
      </c>
    </row>
    <row r="30" spans="1:19">
      <c r="A30" s="154" t="s">
        <v>164</v>
      </c>
      <c r="B30" s="1"/>
      <c r="C30" s="1" t="s">
        <v>99</v>
      </c>
      <c r="D30" s="1" t="s">
        <v>25</v>
      </c>
      <c r="E30" s="1" t="s">
        <v>27</v>
      </c>
      <c r="F30" s="1" t="s">
        <v>27</v>
      </c>
      <c r="G30" s="1" t="s">
        <v>209</v>
      </c>
      <c r="H30" s="139">
        <v>1</v>
      </c>
      <c r="I30" s="139">
        <v>2</v>
      </c>
      <c r="J30" s="139">
        <v>2</v>
      </c>
      <c r="K30" s="139">
        <v>1</v>
      </c>
      <c r="L30" s="139">
        <v>2</v>
      </c>
      <c r="M30" s="1">
        <v>45699</v>
      </c>
      <c r="N30" s="140">
        <v>45699</v>
      </c>
      <c r="O30" s="141"/>
      <c r="P30" s="142"/>
    </row>
    <row r="31" spans="1:19">
      <c r="A31" s="154" t="s">
        <v>164</v>
      </c>
      <c r="B31" s="1"/>
      <c r="C31" s="1" t="s">
        <v>99</v>
      </c>
      <c r="D31" s="1" t="s">
        <v>102</v>
      </c>
      <c r="E31" s="1" t="s">
        <v>210</v>
      </c>
      <c r="F31" s="1" t="s">
        <v>102</v>
      </c>
      <c r="G31" s="1" t="s">
        <v>211</v>
      </c>
      <c r="H31" s="139">
        <v>2</v>
      </c>
      <c r="I31" s="139">
        <v>4</v>
      </c>
      <c r="J31" s="139">
        <v>4</v>
      </c>
      <c r="K31" s="139">
        <v>1</v>
      </c>
      <c r="L31" s="139">
        <v>4</v>
      </c>
      <c r="M31" s="1">
        <v>45694</v>
      </c>
      <c r="N31" s="140">
        <v>45695</v>
      </c>
      <c r="O31" s="141"/>
      <c r="P31" s="142"/>
    </row>
    <row r="32" spans="1:19">
      <c r="A32" s="154" t="s">
        <v>164</v>
      </c>
      <c r="B32" s="1"/>
      <c r="C32" s="1" t="s">
        <v>99</v>
      </c>
      <c r="D32" s="1" t="s">
        <v>39</v>
      </c>
      <c r="E32" s="1" t="s">
        <v>214</v>
      </c>
      <c r="F32" s="1" t="s">
        <v>214</v>
      </c>
      <c r="G32" s="1" t="s">
        <v>219</v>
      </c>
      <c r="H32" s="139">
        <v>3</v>
      </c>
      <c r="I32" s="139">
        <v>8</v>
      </c>
      <c r="J32" s="139">
        <v>8</v>
      </c>
      <c r="K32" s="139">
        <v>1</v>
      </c>
      <c r="L32" s="139">
        <v>8</v>
      </c>
      <c r="M32" s="1">
        <v>45698</v>
      </c>
      <c r="N32" s="140">
        <v>45701</v>
      </c>
      <c r="O32" s="141"/>
      <c r="P32" s="142"/>
      <c r="R32">
        <v>14</v>
      </c>
      <c r="S32">
        <v>14</v>
      </c>
    </row>
    <row r="33" spans="1:19">
      <c r="A33" s="175" t="s">
        <v>167</v>
      </c>
      <c r="B33" s="1"/>
      <c r="C33" s="1" t="s">
        <v>99</v>
      </c>
      <c r="D33" s="1" t="s">
        <v>25</v>
      </c>
      <c r="E33" s="1" t="s">
        <v>27</v>
      </c>
      <c r="F33" s="1" t="s">
        <v>27</v>
      </c>
      <c r="G33" s="1" t="s">
        <v>209</v>
      </c>
      <c r="H33" s="139">
        <v>1</v>
      </c>
      <c r="I33" s="139">
        <v>2</v>
      </c>
      <c r="J33" s="139">
        <v>2</v>
      </c>
      <c r="K33" s="139">
        <v>1</v>
      </c>
      <c r="L33" s="139">
        <v>2</v>
      </c>
      <c r="M33" s="1">
        <v>45700</v>
      </c>
      <c r="N33" s="140">
        <v>45700</v>
      </c>
      <c r="O33" s="141"/>
      <c r="P33" s="142"/>
    </row>
    <row r="34" spans="1:19">
      <c r="A34" s="175" t="s">
        <v>167</v>
      </c>
      <c r="B34" s="1"/>
      <c r="C34" s="1" t="s">
        <v>99</v>
      </c>
      <c r="D34" s="1" t="s">
        <v>102</v>
      </c>
      <c r="E34" s="1" t="s">
        <v>210</v>
      </c>
      <c r="F34" s="1" t="s">
        <v>102</v>
      </c>
      <c r="G34" s="1" t="s">
        <v>213</v>
      </c>
      <c r="H34" s="139">
        <v>2</v>
      </c>
      <c r="I34" s="139">
        <v>4</v>
      </c>
      <c r="J34" s="139">
        <v>4</v>
      </c>
      <c r="K34" s="139">
        <v>1</v>
      </c>
      <c r="L34" s="139">
        <v>4</v>
      </c>
      <c r="M34" s="1">
        <v>45694</v>
      </c>
      <c r="N34" s="140">
        <v>45695</v>
      </c>
      <c r="O34" s="141"/>
      <c r="P34" s="142"/>
    </row>
    <row r="35" spans="1:19">
      <c r="A35" s="175" t="s">
        <v>167</v>
      </c>
      <c r="B35" s="1"/>
      <c r="C35" s="1" t="s">
        <v>99</v>
      </c>
      <c r="D35" s="1" t="s">
        <v>39</v>
      </c>
      <c r="E35" s="1" t="s">
        <v>214</v>
      </c>
      <c r="F35" s="1" t="s">
        <v>214</v>
      </c>
      <c r="G35" s="1" t="s">
        <v>221</v>
      </c>
      <c r="H35" s="139">
        <v>3</v>
      </c>
      <c r="I35" s="139">
        <v>10</v>
      </c>
      <c r="J35" s="139">
        <v>10</v>
      </c>
      <c r="K35" s="139">
        <v>1</v>
      </c>
      <c r="L35" s="139">
        <v>10</v>
      </c>
      <c r="M35" s="1">
        <v>45698</v>
      </c>
      <c r="N35" s="140">
        <v>45702</v>
      </c>
      <c r="O35" s="141"/>
      <c r="P35" s="142"/>
      <c r="R35">
        <v>16</v>
      </c>
      <c r="S35">
        <v>16</v>
      </c>
    </row>
    <row r="36" spans="1:19">
      <c r="A36" s="150" t="s">
        <v>169</v>
      </c>
      <c r="B36" s="1"/>
      <c r="C36" s="1" t="s">
        <v>99</v>
      </c>
      <c r="D36" s="1" t="s">
        <v>25</v>
      </c>
      <c r="E36" s="1" t="s">
        <v>27</v>
      </c>
      <c r="F36" s="1" t="s">
        <v>27</v>
      </c>
      <c r="G36" s="1" t="s">
        <v>209</v>
      </c>
      <c r="H36" s="139">
        <v>1</v>
      </c>
      <c r="I36" s="139">
        <v>2</v>
      </c>
      <c r="J36" s="139">
        <v>2</v>
      </c>
      <c r="K36" s="139">
        <v>1</v>
      </c>
      <c r="L36" s="139">
        <v>2</v>
      </c>
      <c r="M36" s="1">
        <v>45701</v>
      </c>
      <c r="N36" s="140">
        <v>45701</v>
      </c>
      <c r="O36" s="141"/>
      <c r="P36" s="142"/>
    </row>
    <row r="37" spans="1:19">
      <c r="A37" s="150" t="s">
        <v>169</v>
      </c>
      <c r="B37" s="1"/>
      <c r="C37" s="1" t="s">
        <v>99</v>
      </c>
      <c r="D37" s="1" t="s">
        <v>102</v>
      </c>
      <c r="E37" s="1" t="s">
        <v>210</v>
      </c>
      <c r="F37" s="1" t="s">
        <v>102</v>
      </c>
      <c r="G37" s="1" t="s">
        <v>212</v>
      </c>
      <c r="H37" s="139">
        <v>2</v>
      </c>
      <c r="I37" s="139">
        <v>4</v>
      </c>
      <c r="J37" s="139">
        <v>4</v>
      </c>
      <c r="K37" s="139">
        <v>1</v>
      </c>
      <c r="L37" s="139">
        <v>4</v>
      </c>
      <c r="M37" s="1">
        <v>45694</v>
      </c>
      <c r="N37" s="140">
        <v>45695</v>
      </c>
      <c r="O37" s="141"/>
      <c r="P37" s="142"/>
    </row>
    <row r="38" spans="1:19">
      <c r="A38" s="150" t="s">
        <v>169</v>
      </c>
      <c r="B38" s="1"/>
      <c r="C38" s="1" t="s">
        <v>99</v>
      </c>
      <c r="D38" s="1" t="s">
        <v>39</v>
      </c>
      <c r="E38" s="1" t="s">
        <v>214</v>
      </c>
      <c r="F38" s="1" t="s">
        <v>214</v>
      </c>
      <c r="G38" s="1" t="s">
        <v>218</v>
      </c>
      <c r="H38" s="139">
        <v>3</v>
      </c>
      <c r="I38" s="139">
        <v>8</v>
      </c>
      <c r="J38" s="139">
        <v>8</v>
      </c>
      <c r="K38" s="139">
        <v>1</v>
      </c>
      <c r="L38" s="139">
        <v>8</v>
      </c>
      <c r="M38" s="1">
        <v>45699</v>
      </c>
      <c r="N38" s="140">
        <v>45702</v>
      </c>
      <c r="O38" s="141"/>
      <c r="P38" s="142"/>
      <c r="R38">
        <v>14</v>
      </c>
      <c r="S38">
        <v>14</v>
      </c>
    </row>
    <row r="39" spans="1:19">
      <c r="A39" s="151" t="s">
        <v>171</v>
      </c>
      <c r="B39" s="1"/>
      <c r="C39" s="1" t="s">
        <v>99</v>
      </c>
      <c r="D39" s="1" t="s">
        <v>25</v>
      </c>
      <c r="E39" s="1" t="s">
        <v>27</v>
      </c>
      <c r="F39" s="1" t="s">
        <v>27</v>
      </c>
      <c r="G39" s="1" t="s">
        <v>209</v>
      </c>
      <c r="H39" s="139">
        <v>1</v>
      </c>
      <c r="I39" s="139">
        <v>2</v>
      </c>
      <c r="J39" s="139">
        <v>2</v>
      </c>
      <c r="K39" s="139">
        <v>1</v>
      </c>
      <c r="L39" s="139">
        <v>2</v>
      </c>
      <c r="M39" s="1">
        <v>45702</v>
      </c>
      <c r="N39" s="140">
        <v>45702</v>
      </c>
      <c r="O39" s="141"/>
      <c r="P39" s="142"/>
    </row>
    <row r="40" spans="1:19">
      <c r="A40" s="151" t="s">
        <v>171</v>
      </c>
      <c r="B40" s="1"/>
      <c r="C40" s="1" t="s">
        <v>99</v>
      </c>
      <c r="D40" s="1" t="s">
        <v>102</v>
      </c>
      <c r="E40" s="1" t="s">
        <v>210</v>
      </c>
      <c r="F40" s="1" t="s">
        <v>102</v>
      </c>
      <c r="G40" s="1" t="s">
        <v>213</v>
      </c>
      <c r="H40" s="139">
        <v>2</v>
      </c>
      <c r="I40" s="139">
        <v>4</v>
      </c>
      <c r="J40" s="139">
        <v>4</v>
      </c>
      <c r="K40" s="139">
        <v>1</v>
      </c>
      <c r="L40" s="139">
        <v>4</v>
      </c>
      <c r="M40" s="1">
        <v>45698</v>
      </c>
      <c r="N40" s="140">
        <v>45699</v>
      </c>
      <c r="O40" s="141"/>
      <c r="P40" s="142"/>
    </row>
    <row r="41" spans="1:19">
      <c r="A41" s="151" t="s">
        <v>171</v>
      </c>
      <c r="B41" s="1"/>
      <c r="C41" s="1" t="s">
        <v>99</v>
      </c>
      <c r="D41" s="1" t="s">
        <v>39</v>
      </c>
      <c r="E41" s="1" t="s">
        <v>214</v>
      </c>
      <c r="F41" s="1" t="s">
        <v>214</v>
      </c>
      <c r="G41" s="1" t="s">
        <v>216</v>
      </c>
      <c r="H41" s="139">
        <v>3</v>
      </c>
      <c r="I41" s="139">
        <v>8</v>
      </c>
      <c r="J41" s="139">
        <v>8</v>
      </c>
      <c r="K41" s="139">
        <v>1</v>
      </c>
      <c r="L41" s="139">
        <v>8</v>
      </c>
      <c r="M41" s="1">
        <v>45700</v>
      </c>
      <c r="N41" s="140">
        <v>45705</v>
      </c>
      <c r="O41" s="141"/>
      <c r="P41" s="142"/>
      <c r="R41">
        <v>14</v>
      </c>
      <c r="S41">
        <v>14</v>
      </c>
    </row>
    <row r="42" spans="1:19">
      <c r="A42" s="153" t="s">
        <v>173</v>
      </c>
      <c r="B42" s="1"/>
      <c r="C42" s="1" t="s">
        <v>99</v>
      </c>
      <c r="D42" s="1" t="s">
        <v>25</v>
      </c>
      <c r="E42" s="1" t="s">
        <v>27</v>
      </c>
      <c r="F42" s="1" t="s">
        <v>27</v>
      </c>
      <c r="G42" s="1" t="s">
        <v>209</v>
      </c>
      <c r="H42" s="139">
        <v>1</v>
      </c>
      <c r="I42" s="139">
        <v>2</v>
      </c>
      <c r="J42" s="139">
        <v>2</v>
      </c>
      <c r="K42" s="139">
        <v>1</v>
      </c>
      <c r="L42" s="139">
        <v>2</v>
      </c>
      <c r="M42" s="1">
        <v>45705</v>
      </c>
      <c r="N42" s="140">
        <v>45705</v>
      </c>
      <c r="O42" s="141"/>
      <c r="P42" s="142"/>
    </row>
    <row r="43" spans="1:19">
      <c r="A43" s="153" t="s">
        <v>173</v>
      </c>
      <c r="B43" s="1"/>
      <c r="C43" s="1" t="s">
        <v>99</v>
      </c>
      <c r="D43" s="1" t="s">
        <v>102</v>
      </c>
      <c r="E43" s="1" t="s">
        <v>210</v>
      </c>
      <c r="F43" s="1" t="s">
        <v>102</v>
      </c>
      <c r="G43" s="1" t="s">
        <v>211</v>
      </c>
      <c r="H43" s="139">
        <v>2</v>
      </c>
      <c r="I43" s="139">
        <v>4</v>
      </c>
      <c r="J43" s="139">
        <v>4</v>
      </c>
      <c r="K43" s="139">
        <v>1</v>
      </c>
      <c r="L43" s="139">
        <v>4</v>
      </c>
      <c r="M43" s="1">
        <v>45698</v>
      </c>
      <c r="N43" s="140">
        <v>45699</v>
      </c>
      <c r="O43" s="141"/>
      <c r="P43" s="142"/>
    </row>
    <row r="44" spans="1:19">
      <c r="A44" s="153" t="s">
        <v>173</v>
      </c>
      <c r="B44" s="1"/>
      <c r="C44" s="1" t="s">
        <v>99</v>
      </c>
      <c r="D44" s="1" t="s">
        <v>39</v>
      </c>
      <c r="E44" s="1" t="s">
        <v>214</v>
      </c>
      <c r="F44" s="1" t="s">
        <v>214</v>
      </c>
      <c r="G44" s="1" t="s">
        <v>215</v>
      </c>
      <c r="H44" s="139">
        <v>3</v>
      </c>
      <c r="I44" s="139">
        <v>8</v>
      </c>
      <c r="J44" s="139">
        <v>8</v>
      </c>
      <c r="K44" s="139">
        <v>1</v>
      </c>
      <c r="L44" s="139">
        <v>8</v>
      </c>
      <c r="M44" s="1">
        <v>45700</v>
      </c>
      <c r="N44" s="140">
        <v>45705</v>
      </c>
      <c r="O44" s="141"/>
      <c r="P44" s="142"/>
      <c r="R44">
        <v>14</v>
      </c>
      <c r="S44">
        <v>14</v>
      </c>
    </row>
    <row r="45" spans="1:19">
      <c r="A45" s="156" t="s">
        <v>175</v>
      </c>
      <c r="B45" s="1"/>
      <c r="C45" s="1" t="s">
        <v>99</v>
      </c>
      <c r="D45" s="1" t="s">
        <v>25</v>
      </c>
      <c r="E45" s="1" t="s">
        <v>27</v>
      </c>
      <c r="F45" s="1" t="s">
        <v>27</v>
      </c>
      <c r="G45" s="1" t="s">
        <v>209</v>
      </c>
      <c r="H45" s="139">
        <v>1</v>
      </c>
      <c r="I45" s="139">
        <v>2</v>
      </c>
      <c r="J45" s="139">
        <v>2</v>
      </c>
      <c r="K45" s="139">
        <v>1</v>
      </c>
      <c r="L45" s="139">
        <v>2</v>
      </c>
      <c r="M45" s="1">
        <v>45706</v>
      </c>
      <c r="N45" s="140">
        <v>45706</v>
      </c>
      <c r="O45" s="141"/>
      <c r="P45" s="142"/>
    </row>
    <row r="46" spans="1:19">
      <c r="A46" s="156" t="s">
        <v>175</v>
      </c>
      <c r="B46" s="1"/>
      <c r="C46" s="1" t="s">
        <v>99</v>
      </c>
      <c r="D46" s="1" t="s">
        <v>102</v>
      </c>
      <c r="E46" s="1" t="s">
        <v>210</v>
      </c>
      <c r="F46" s="1" t="s">
        <v>102</v>
      </c>
      <c r="G46" s="1" t="s">
        <v>212</v>
      </c>
      <c r="H46" s="139">
        <v>2</v>
      </c>
      <c r="I46" s="139">
        <v>4</v>
      </c>
      <c r="J46" s="139">
        <v>4</v>
      </c>
      <c r="K46" s="139">
        <v>1</v>
      </c>
      <c r="L46" s="139">
        <v>4</v>
      </c>
      <c r="M46" s="1">
        <v>45698</v>
      </c>
      <c r="N46" s="140">
        <v>45699</v>
      </c>
      <c r="O46" s="141"/>
      <c r="P46" s="142"/>
    </row>
    <row r="47" spans="1:19">
      <c r="A47" s="156" t="s">
        <v>175</v>
      </c>
      <c r="B47" s="1"/>
      <c r="C47" s="1" t="s">
        <v>99</v>
      </c>
      <c r="D47" s="1" t="s">
        <v>39</v>
      </c>
      <c r="E47" s="1" t="s">
        <v>214</v>
      </c>
      <c r="F47" s="1" t="s">
        <v>214</v>
      </c>
      <c r="G47" s="1" t="s">
        <v>217</v>
      </c>
      <c r="H47" s="139">
        <v>3</v>
      </c>
      <c r="I47" s="139">
        <v>8</v>
      </c>
      <c r="J47" s="139">
        <v>8</v>
      </c>
      <c r="K47" s="139">
        <v>1</v>
      </c>
      <c r="L47" s="139">
        <v>8</v>
      </c>
      <c r="M47" s="1">
        <v>45700</v>
      </c>
      <c r="N47" s="140">
        <v>45705</v>
      </c>
      <c r="O47" s="141"/>
      <c r="P47" s="142"/>
      <c r="R47">
        <v>14</v>
      </c>
      <c r="S47">
        <v>14</v>
      </c>
    </row>
    <row r="48" spans="1:19">
      <c r="A48" s="157" t="s">
        <v>177</v>
      </c>
      <c r="B48" s="1"/>
      <c r="C48" s="1" t="s">
        <v>99</v>
      </c>
      <c r="D48" s="1" t="s">
        <v>25</v>
      </c>
      <c r="E48" s="1" t="s">
        <v>27</v>
      </c>
      <c r="F48" s="1" t="s">
        <v>27</v>
      </c>
      <c r="G48" s="1" t="s">
        <v>209</v>
      </c>
      <c r="H48" s="139">
        <v>1</v>
      </c>
      <c r="I48" s="139">
        <v>2</v>
      </c>
      <c r="J48" s="139">
        <v>2</v>
      </c>
      <c r="K48" s="139">
        <v>1</v>
      </c>
      <c r="L48" s="139">
        <v>2</v>
      </c>
      <c r="M48" s="1">
        <v>45707</v>
      </c>
      <c r="N48" s="140">
        <v>45707</v>
      </c>
      <c r="O48" s="141"/>
      <c r="P48" s="142"/>
    </row>
    <row r="49" spans="1:19">
      <c r="A49" s="157" t="s">
        <v>177</v>
      </c>
      <c r="B49" s="1"/>
      <c r="C49" s="1" t="s">
        <v>99</v>
      </c>
      <c r="D49" s="1" t="s">
        <v>102</v>
      </c>
      <c r="E49" s="1" t="s">
        <v>210</v>
      </c>
      <c r="F49" s="1" t="s">
        <v>102</v>
      </c>
      <c r="G49" s="1" t="s">
        <v>211</v>
      </c>
      <c r="H49" s="139">
        <v>2</v>
      </c>
      <c r="I49" s="139">
        <v>4</v>
      </c>
      <c r="J49" s="139">
        <v>4</v>
      </c>
      <c r="K49" s="139">
        <v>1</v>
      </c>
      <c r="L49" s="139">
        <v>4</v>
      </c>
      <c r="M49" s="1">
        <v>45700</v>
      </c>
      <c r="N49" s="140">
        <v>45701</v>
      </c>
      <c r="O49" s="141"/>
      <c r="P49" s="142"/>
    </row>
    <row r="50" spans="1:19">
      <c r="A50" s="157" t="s">
        <v>177</v>
      </c>
      <c r="B50" s="1"/>
      <c r="C50" s="1" t="s">
        <v>99</v>
      </c>
      <c r="D50" s="1" t="s">
        <v>39</v>
      </c>
      <c r="E50" s="1" t="s">
        <v>214</v>
      </c>
      <c r="F50" s="1" t="s">
        <v>214</v>
      </c>
      <c r="G50" s="1" t="s">
        <v>220</v>
      </c>
      <c r="H50" s="139">
        <v>3</v>
      </c>
      <c r="I50" s="139">
        <v>8</v>
      </c>
      <c r="J50" s="139">
        <v>8</v>
      </c>
      <c r="K50" s="139">
        <v>1</v>
      </c>
      <c r="L50" s="139">
        <v>8</v>
      </c>
      <c r="M50" s="1">
        <v>45702</v>
      </c>
      <c r="N50" s="140">
        <v>45707</v>
      </c>
      <c r="O50" s="141"/>
      <c r="P50" s="142"/>
      <c r="R50">
        <v>14</v>
      </c>
      <c r="S50">
        <v>14</v>
      </c>
    </row>
    <row r="51" spans="1:19">
      <c r="A51" s="164" t="s">
        <v>179</v>
      </c>
      <c r="B51" s="1"/>
      <c r="C51" s="1" t="s">
        <v>99</v>
      </c>
      <c r="D51" s="1" t="s">
        <v>25</v>
      </c>
      <c r="E51" s="1" t="s">
        <v>27</v>
      </c>
      <c r="F51" s="1" t="s">
        <v>27</v>
      </c>
      <c r="G51" s="1" t="s">
        <v>209</v>
      </c>
      <c r="H51" s="139">
        <v>1</v>
      </c>
      <c r="I51" s="139">
        <v>2</v>
      </c>
      <c r="J51" s="139">
        <v>2</v>
      </c>
      <c r="K51" s="139">
        <v>1</v>
      </c>
      <c r="L51" s="139">
        <v>2</v>
      </c>
      <c r="M51" s="1">
        <v>45708</v>
      </c>
      <c r="N51" s="140">
        <v>45708</v>
      </c>
      <c r="O51" s="141"/>
      <c r="P51" s="142"/>
    </row>
    <row r="52" spans="1:19">
      <c r="A52" s="164" t="s">
        <v>179</v>
      </c>
      <c r="B52" s="1"/>
      <c r="C52" s="1" t="s">
        <v>99</v>
      </c>
      <c r="D52" s="1" t="s">
        <v>102</v>
      </c>
      <c r="E52" s="1" t="s">
        <v>210</v>
      </c>
      <c r="F52" s="1" t="s">
        <v>102</v>
      </c>
      <c r="G52" s="1" t="s">
        <v>213</v>
      </c>
      <c r="H52" s="139">
        <v>2</v>
      </c>
      <c r="I52" s="139">
        <v>4</v>
      </c>
      <c r="J52" s="139">
        <v>4</v>
      </c>
      <c r="K52" s="139">
        <v>1</v>
      </c>
      <c r="L52" s="139">
        <v>4</v>
      </c>
      <c r="M52" s="1">
        <v>45700</v>
      </c>
      <c r="N52" s="140">
        <v>45701</v>
      </c>
      <c r="O52" s="141"/>
      <c r="P52" s="142"/>
    </row>
    <row r="53" spans="1:19">
      <c r="A53" s="164" t="s">
        <v>179</v>
      </c>
      <c r="B53" s="1"/>
      <c r="C53" s="1" t="s">
        <v>99</v>
      </c>
      <c r="D53" s="1" t="s">
        <v>39</v>
      </c>
      <c r="E53" s="1" t="s">
        <v>214</v>
      </c>
      <c r="F53" s="1" t="s">
        <v>214</v>
      </c>
      <c r="G53" s="1" t="s">
        <v>116</v>
      </c>
      <c r="H53" s="139">
        <v>3</v>
      </c>
      <c r="I53" s="139">
        <v>8</v>
      </c>
      <c r="J53" s="139">
        <v>8</v>
      </c>
      <c r="K53" s="139">
        <v>1</v>
      </c>
      <c r="L53" s="139">
        <v>8</v>
      </c>
      <c r="M53" s="1">
        <v>45702</v>
      </c>
      <c r="N53" s="140">
        <v>45707</v>
      </c>
      <c r="O53" s="141"/>
      <c r="P53" s="142"/>
      <c r="R53">
        <v>14</v>
      </c>
      <c r="S53">
        <v>14</v>
      </c>
    </row>
    <row r="54" spans="1:19">
      <c r="A54" s="169" t="s">
        <v>181</v>
      </c>
      <c r="B54" s="1"/>
      <c r="C54" s="1" t="s">
        <v>99</v>
      </c>
      <c r="D54" s="1" t="s">
        <v>25</v>
      </c>
      <c r="E54" s="1" t="s">
        <v>27</v>
      </c>
      <c r="F54" s="1" t="s">
        <v>27</v>
      </c>
      <c r="G54" s="1" t="s">
        <v>209</v>
      </c>
      <c r="H54" s="139">
        <v>1</v>
      </c>
      <c r="I54" s="139">
        <v>2</v>
      </c>
      <c r="J54" s="139">
        <v>2</v>
      </c>
      <c r="K54" s="139">
        <v>1</v>
      </c>
      <c r="L54" s="139">
        <v>2</v>
      </c>
      <c r="M54" s="1">
        <v>45709</v>
      </c>
      <c r="N54" s="140">
        <v>45709</v>
      </c>
      <c r="O54" s="141"/>
      <c r="P54" s="142"/>
    </row>
    <row r="55" spans="1:19">
      <c r="A55" s="169" t="s">
        <v>181</v>
      </c>
      <c r="B55" s="1"/>
      <c r="C55" s="1" t="s">
        <v>99</v>
      </c>
      <c r="D55" s="1" t="s">
        <v>102</v>
      </c>
      <c r="E55" s="1" t="s">
        <v>210</v>
      </c>
      <c r="F55" s="1" t="s">
        <v>102</v>
      </c>
      <c r="G55" s="1" t="s">
        <v>212</v>
      </c>
      <c r="H55" s="139">
        <v>2</v>
      </c>
      <c r="I55" s="139">
        <v>4</v>
      </c>
      <c r="J55" s="139">
        <v>4</v>
      </c>
      <c r="K55" s="139">
        <v>1</v>
      </c>
      <c r="L55" s="139">
        <v>4</v>
      </c>
      <c r="M55" s="1">
        <v>45700</v>
      </c>
      <c r="N55" s="140">
        <v>45701</v>
      </c>
      <c r="O55" s="141"/>
      <c r="P55" s="142"/>
    </row>
    <row r="56" spans="1:19">
      <c r="A56" s="169" t="s">
        <v>181</v>
      </c>
      <c r="B56" s="1"/>
      <c r="C56" s="1" t="s">
        <v>99</v>
      </c>
      <c r="D56" s="1" t="s">
        <v>39</v>
      </c>
      <c r="E56" s="1" t="s">
        <v>214</v>
      </c>
      <c r="F56" s="1" t="s">
        <v>214</v>
      </c>
      <c r="G56" s="1" t="s">
        <v>219</v>
      </c>
      <c r="H56" s="139">
        <v>3</v>
      </c>
      <c r="I56" s="139">
        <v>8</v>
      </c>
      <c r="J56" s="139">
        <v>8</v>
      </c>
      <c r="K56" s="139">
        <v>1</v>
      </c>
      <c r="L56" s="139">
        <v>8</v>
      </c>
      <c r="M56" s="1">
        <v>45702</v>
      </c>
      <c r="N56" s="140">
        <v>45707</v>
      </c>
      <c r="O56" s="141"/>
      <c r="P56" s="142"/>
      <c r="R56">
        <v>14</v>
      </c>
      <c r="S56">
        <v>14</v>
      </c>
    </row>
    <row r="57" spans="1:19">
      <c r="A57" s="170" t="s">
        <v>183</v>
      </c>
      <c r="B57" s="1"/>
      <c r="C57" s="1" t="s">
        <v>99</v>
      </c>
      <c r="D57" s="1" t="s">
        <v>25</v>
      </c>
      <c r="E57" s="1" t="s">
        <v>27</v>
      </c>
      <c r="F57" s="1" t="s">
        <v>27</v>
      </c>
      <c r="G57" s="1" t="s">
        <v>209</v>
      </c>
      <c r="H57" s="139">
        <v>1</v>
      </c>
      <c r="I57" s="139">
        <v>2</v>
      </c>
      <c r="J57" s="139">
        <v>2</v>
      </c>
      <c r="K57" s="139">
        <v>1</v>
      </c>
      <c r="L57" s="139">
        <v>2</v>
      </c>
      <c r="M57" s="1">
        <v>45712</v>
      </c>
      <c r="N57" s="140">
        <v>45712</v>
      </c>
      <c r="O57" s="141"/>
      <c r="P57" s="142"/>
    </row>
    <row r="58" spans="1:19">
      <c r="A58" s="170" t="s">
        <v>183</v>
      </c>
      <c r="B58" s="1"/>
      <c r="C58" s="1" t="s">
        <v>99</v>
      </c>
      <c r="D58" s="1" t="s">
        <v>102</v>
      </c>
      <c r="E58" s="1" t="s">
        <v>210</v>
      </c>
      <c r="F58" s="1" t="s">
        <v>102</v>
      </c>
      <c r="G58" s="1" t="s">
        <v>212</v>
      </c>
      <c r="H58" s="139">
        <v>2</v>
      </c>
      <c r="I58" s="139">
        <v>4</v>
      </c>
      <c r="J58" s="139">
        <v>4</v>
      </c>
      <c r="K58" s="139">
        <v>1</v>
      </c>
      <c r="L58" s="139">
        <v>4</v>
      </c>
      <c r="M58" s="1">
        <v>45702</v>
      </c>
      <c r="N58" s="140">
        <v>45705</v>
      </c>
      <c r="O58" s="141"/>
      <c r="P58" s="142"/>
    </row>
    <row r="59" spans="1:19">
      <c r="A59" s="170" t="s">
        <v>183</v>
      </c>
      <c r="B59" s="1"/>
      <c r="C59" s="1" t="s">
        <v>99</v>
      </c>
      <c r="D59" s="1" t="s">
        <v>39</v>
      </c>
      <c r="E59" s="1" t="s">
        <v>214</v>
      </c>
      <c r="F59" s="1" t="s">
        <v>214</v>
      </c>
      <c r="G59" s="1" t="s">
        <v>218</v>
      </c>
      <c r="H59" s="139">
        <v>3</v>
      </c>
      <c r="I59" s="139">
        <v>2</v>
      </c>
      <c r="J59" s="139">
        <v>2</v>
      </c>
      <c r="K59" s="139">
        <v>1</v>
      </c>
      <c r="L59" s="139">
        <v>2</v>
      </c>
      <c r="M59" s="1">
        <v>45707</v>
      </c>
      <c r="N59" s="140">
        <v>45707</v>
      </c>
      <c r="O59" s="141"/>
      <c r="P59" s="142"/>
      <c r="R59">
        <v>8</v>
      </c>
      <c r="S59">
        <v>8</v>
      </c>
    </row>
    <row r="60" spans="1:19">
      <c r="A60" s="171" t="s">
        <v>185</v>
      </c>
      <c r="B60" s="1"/>
      <c r="C60" s="1" t="s">
        <v>99</v>
      </c>
      <c r="D60" s="1" t="s">
        <v>25</v>
      </c>
      <c r="E60" s="1" t="s">
        <v>27</v>
      </c>
      <c r="F60" s="1" t="s">
        <v>27</v>
      </c>
      <c r="G60" s="1" t="s">
        <v>209</v>
      </c>
      <c r="H60" s="139">
        <v>1</v>
      </c>
      <c r="I60" s="139">
        <v>2</v>
      </c>
      <c r="J60" s="139">
        <v>2</v>
      </c>
      <c r="K60" s="139">
        <v>1</v>
      </c>
      <c r="L60" s="139">
        <v>2</v>
      </c>
      <c r="M60" s="1">
        <v>45713</v>
      </c>
      <c r="N60" s="140">
        <v>45713</v>
      </c>
      <c r="O60" s="141"/>
      <c r="P60" s="142"/>
    </row>
    <row r="61" spans="1:19">
      <c r="A61" s="171" t="s">
        <v>185</v>
      </c>
      <c r="B61" s="1"/>
      <c r="C61" s="1" t="s">
        <v>99</v>
      </c>
      <c r="D61" s="1" t="s">
        <v>102</v>
      </c>
      <c r="E61" s="1" t="s">
        <v>210</v>
      </c>
      <c r="F61" s="1" t="s">
        <v>102</v>
      </c>
      <c r="G61" s="1" t="s">
        <v>211</v>
      </c>
      <c r="H61" s="139">
        <v>2</v>
      </c>
      <c r="I61" s="139">
        <v>4</v>
      </c>
      <c r="J61" s="139">
        <v>4</v>
      </c>
      <c r="K61" s="139">
        <v>1</v>
      </c>
      <c r="L61" s="139">
        <v>4</v>
      </c>
      <c r="M61" s="1">
        <v>45702</v>
      </c>
      <c r="N61" s="140">
        <v>45705</v>
      </c>
      <c r="O61" s="141"/>
      <c r="P61" s="142"/>
    </row>
    <row r="62" spans="1:19">
      <c r="A62" s="171" t="s">
        <v>185</v>
      </c>
      <c r="B62" s="1"/>
      <c r="C62" s="1" t="s">
        <v>99</v>
      </c>
      <c r="D62" s="1" t="s">
        <v>39</v>
      </c>
      <c r="E62" s="1" t="s">
        <v>214</v>
      </c>
      <c r="F62" s="1" t="s">
        <v>214</v>
      </c>
      <c r="G62" s="1" t="s">
        <v>218</v>
      </c>
      <c r="H62" s="139">
        <v>3</v>
      </c>
      <c r="I62" s="139">
        <v>2</v>
      </c>
      <c r="J62" s="139">
        <v>2</v>
      </c>
      <c r="K62" s="139">
        <v>1</v>
      </c>
      <c r="L62" s="139">
        <v>2</v>
      </c>
      <c r="M62" s="1">
        <v>45706</v>
      </c>
      <c r="N62" s="140">
        <v>45706</v>
      </c>
      <c r="O62" s="141"/>
      <c r="P62" s="142"/>
      <c r="R62">
        <v>8</v>
      </c>
      <c r="S62">
        <v>8</v>
      </c>
    </row>
    <row r="63" spans="1:19">
      <c r="A63" s="148" t="s">
        <v>187</v>
      </c>
      <c r="B63" s="1"/>
      <c r="C63" s="1" t="s">
        <v>99</v>
      </c>
      <c r="D63" s="1" t="s">
        <v>25</v>
      </c>
      <c r="E63" s="1" t="s">
        <v>27</v>
      </c>
      <c r="F63" s="1" t="s">
        <v>27</v>
      </c>
      <c r="G63" s="1" t="s">
        <v>209</v>
      </c>
      <c r="H63" s="139">
        <v>1</v>
      </c>
      <c r="I63" s="139">
        <v>2</v>
      </c>
      <c r="J63" s="139">
        <v>2</v>
      </c>
      <c r="K63" s="139">
        <v>1</v>
      </c>
      <c r="L63" s="139">
        <v>2</v>
      </c>
      <c r="M63" s="1">
        <v>45714</v>
      </c>
      <c r="N63" s="140">
        <v>45714</v>
      </c>
      <c r="O63" s="141"/>
      <c r="P63" s="142"/>
    </row>
    <row r="64" spans="1:19">
      <c r="A64" s="148" t="s">
        <v>187</v>
      </c>
      <c r="B64" s="1"/>
      <c r="C64" s="1" t="s">
        <v>99</v>
      </c>
      <c r="D64" s="1" t="s">
        <v>102</v>
      </c>
      <c r="E64" s="1" t="s">
        <v>210</v>
      </c>
      <c r="F64" s="1" t="s">
        <v>102</v>
      </c>
      <c r="G64" s="1" t="s">
        <v>213</v>
      </c>
      <c r="H64" s="139">
        <v>2</v>
      </c>
      <c r="I64" s="139">
        <v>4</v>
      </c>
      <c r="J64" s="139">
        <v>4</v>
      </c>
      <c r="K64" s="139">
        <v>1</v>
      </c>
      <c r="L64" s="139">
        <v>4</v>
      </c>
      <c r="M64" s="1">
        <v>45702</v>
      </c>
      <c r="N64" s="140">
        <v>45705</v>
      </c>
      <c r="O64" s="141"/>
      <c r="P64" s="142"/>
    </row>
    <row r="65" spans="1:19">
      <c r="A65" s="148" t="s">
        <v>187</v>
      </c>
      <c r="B65" s="1"/>
      <c r="C65" s="1" t="s">
        <v>99</v>
      </c>
      <c r="D65" s="1" t="s">
        <v>39</v>
      </c>
      <c r="E65" s="1" t="s">
        <v>214</v>
      </c>
      <c r="F65" s="1" t="s">
        <v>214</v>
      </c>
      <c r="G65" s="1" t="s">
        <v>216</v>
      </c>
      <c r="H65" s="139">
        <v>3</v>
      </c>
      <c r="I65" s="139">
        <v>2</v>
      </c>
      <c r="J65" s="139">
        <v>2</v>
      </c>
      <c r="K65" s="139">
        <v>1</v>
      </c>
      <c r="L65" s="139">
        <v>2</v>
      </c>
      <c r="M65" s="1">
        <v>45706</v>
      </c>
      <c r="N65" s="140">
        <v>45706</v>
      </c>
      <c r="O65" s="141"/>
      <c r="P65" s="142"/>
      <c r="R65">
        <v>8</v>
      </c>
      <c r="S65">
        <v>8</v>
      </c>
    </row>
    <row r="66" spans="1:19">
      <c r="A66" s="172" t="s">
        <v>189</v>
      </c>
      <c r="B66" s="1"/>
      <c r="C66" s="1" t="s">
        <v>99</v>
      </c>
      <c r="D66" s="1" t="s">
        <v>25</v>
      </c>
      <c r="E66" s="1" t="s">
        <v>27</v>
      </c>
      <c r="F66" s="1" t="s">
        <v>27</v>
      </c>
      <c r="G66" s="1" t="s">
        <v>209</v>
      </c>
      <c r="H66" s="139">
        <v>1</v>
      </c>
      <c r="I66" s="139">
        <v>2</v>
      </c>
      <c r="J66" s="139">
        <v>2</v>
      </c>
      <c r="K66" s="139">
        <v>1</v>
      </c>
      <c r="L66" s="139">
        <v>2</v>
      </c>
      <c r="M66" s="1">
        <v>45715</v>
      </c>
      <c r="N66" s="140">
        <v>45715</v>
      </c>
      <c r="O66" s="141"/>
      <c r="P66" s="142"/>
    </row>
    <row r="67" spans="1:19">
      <c r="A67" s="172" t="s">
        <v>189</v>
      </c>
      <c r="B67" s="1"/>
      <c r="C67" s="1" t="s">
        <v>99</v>
      </c>
      <c r="D67" s="1" t="s">
        <v>102</v>
      </c>
      <c r="E67" s="1" t="s">
        <v>210</v>
      </c>
      <c r="F67" s="1" t="s">
        <v>102</v>
      </c>
      <c r="G67" s="1" t="s">
        <v>211</v>
      </c>
      <c r="H67" s="139">
        <v>2</v>
      </c>
      <c r="I67" s="139">
        <v>4</v>
      </c>
      <c r="J67" s="139">
        <v>4</v>
      </c>
      <c r="K67" s="139">
        <v>1</v>
      </c>
      <c r="L67" s="139">
        <v>4</v>
      </c>
      <c r="M67" s="1">
        <v>45706</v>
      </c>
      <c r="N67" s="140">
        <v>45707</v>
      </c>
      <c r="O67" s="141"/>
      <c r="P67" s="142"/>
    </row>
    <row r="68" spans="1:19">
      <c r="A68" s="172" t="s">
        <v>189</v>
      </c>
      <c r="B68" s="1"/>
      <c r="C68" s="1" t="s">
        <v>99</v>
      </c>
      <c r="D68" s="1" t="s">
        <v>39</v>
      </c>
      <c r="E68" s="1" t="s">
        <v>214</v>
      </c>
      <c r="F68" s="1" t="s">
        <v>214</v>
      </c>
      <c r="G68" s="1" t="s">
        <v>217</v>
      </c>
      <c r="H68" s="139">
        <v>3</v>
      </c>
      <c r="I68" s="139">
        <v>5</v>
      </c>
      <c r="J68" s="139">
        <v>5</v>
      </c>
      <c r="K68" s="139">
        <v>1</v>
      </c>
      <c r="L68" s="139">
        <v>5</v>
      </c>
      <c r="M68" s="1">
        <v>45708</v>
      </c>
      <c r="N68" s="140">
        <v>45712</v>
      </c>
      <c r="O68" s="141"/>
      <c r="P68" s="142"/>
      <c r="R68">
        <v>11</v>
      </c>
      <c r="S68">
        <v>11</v>
      </c>
    </row>
    <row r="69" spans="1:19">
      <c r="A69" s="173" t="s">
        <v>192</v>
      </c>
      <c r="B69" s="1"/>
      <c r="C69" s="1" t="s">
        <v>99</v>
      </c>
      <c r="D69" s="1" t="s">
        <v>25</v>
      </c>
      <c r="E69" s="1" t="s">
        <v>27</v>
      </c>
      <c r="F69" s="1" t="s">
        <v>27</v>
      </c>
      <c r="G69" s="1" t="s">
        <v>209</v>
      </c>
      <c r="H69" s="139">
        <v>1</v>
      </c>
      <c r="I69" s="139">
        <v>2</v>
      </c>
      <c r="J69" s="139">
        <v>2</v>
      </c>
      <c r="K69" s="139">
        <v>1</v>
      </c>
      <c r="L69" s="139">
        <v>2</v>
      </c>
      <c r="M69" s="1">
        <v>45716</v>
      </c>
      <c r="N69" s="140">
        <v>45716</v>
      </c>
      <c r="O69" s="141"/>
      <c r="P69" s="142"/>
    </row>
    <row r="70" spans="1:19">
      <c r="A70" s="173" t="s">
        <v>192</v>
      </c>
      <c r="B70" s="1"/>
      <c r="C70" s="1" t="s">
        <v>99</v>
      </c>
      <c r="D70" s="1" t="s">
        <v>102</v>
      </c>
      <c r="E70" s="1" t="s">
        <v>210</v>
      </c>
      <c r="F70" s="1" t="s">
        <v>102</v>
      </c>
      <c r="G70" s="1" t="s">
        <v>213</v>
      </c>
      <c r="H70" s="139">
        <v>2</v>
      </c>
      <c r="I70" s="139">
        <v>4</v>
      </c>
      <c r="J70" s="139">
        <v>4</v>
      </c>
      <c r="K70" s="139">
        <v>1</v>
      </c>
      <c r="L70" s="139">
        <v>4</v>
      </c>
      <c r="M70" s="1">
        <v>45706</v>
      </c>
      <c r="N70" s="140">
        <v>45707</v>
      </c>
      <c r="O70" s="141"/>
      <c r="P70" s="142"/>
    </row>
    <row r="71" spans="1:19">
      <c r="A71" s="173" t="s">
        <v>192</v>
      </c>
      <c r="B71" s="1"/>
      <c r="C71" s="1" t="s">
        <v>99</v>
      </c>
      <c r="D71" s="1" t="s">
        <v>39</v>
      </c>
      <c r="E71" s="1" t="s">
        <v>214</v>
      </c>
      <c r="F71" s="1" t="s">
        <v>214</v>
      </c>
      <c r="G71" s="1" t="s">
        <v>215</v>
      </c>
      <c r="H71" s="139">
        <v>3</v>
      </c>
      <c r="I71" s="139">
        <v>10</v>
      </c>
      <c r="J71" s="139">
        <v>10</v>
      </c>
      <c r="K71" s="139">
        <v>1</v>
      </c>
      <c r="L71" s="139">
        <v>10</v>
      </c>
      <c r="M71" s="1">
        <v>45708</v>
      </c>
      <c r="N71" s="140">
        <v>45714</v>
      </c>
      <c r="O71" s="141"/>
      <c r="P71" s="142"/>
      <c r="R71">
        <v>16</v>
      </c>
      <c r="S71">
        <v>16</v>
      </c>
    </row>
    <row r="72" spans="1:19">
      <c r="A72" s="174" t="s">
        <v>195</v>
      </c>
      <c r="B72" s="1"/>
      <c r="C72" s="1" t="s">
        <v>99</v>
      </c>
      <c r="D72" s="1" t="s">
        <v>25</v>
      </c>
      <c r="E72" s="1" t="s">
        <v>27</v>
      </c>
      <c r="F72" s="1" t="s">
        <v>27</v>
      </c>
      <c r="G72" s="1" t="s">
        <v>209</v>
      </c>
      <c r="H72" s="139">
        <v>1</v>
      </c>
      <c r="I72" s="139">
        <v>2</v>
      </c>
      <c r="J72" s="139">
        <v>2</v>
      </c>
      <c r="K72" s="139">
        <v>1</v>
      </c>
      <c r="L72" s="139">
        <v>2</v>
      </c>
      <c r="M72" s="1">
        <v>45721</v>
      </c>
      <c r="N72" s="140">
        <v>45721</v>
      </c>
      <c r="O72" s="141"/>
      <c r="P72" s="142"/>
    </row>
    <row r="73" spans="1:19">
      <c r="A73" s="174" t="s">
        <v>195</v>
      </c>
      <c r="B73" s="1"/>
      <c r="C73" s="1" t="s">
        <v>99</v>
      </c>
      <c r="D73" s="1" t="s">
        <v>102</v>
      </c>
      <c r="E73" s="1" t="s">
        <v>210</v>
      </c>
      <c r="F73" s="1" t="s">
        <v>102</v>
      </c>
      <c r="G73" s="1" t="s">
        <v>212</v>
      </c>
      <c r="H73" s="139">
        <v>2</v>
      </c>
      <c r="I73" s="139">
        <v>4</v>
      </c>
      <c r="J73" s="139">
        <v>4</v>
      </c>
      <c r="K73" s="139">
        <v>1</v>
      </c>
      <c r="L73" s="139">
        <v>4</v>
      </c>
      <c r="M73" s="1">
        <v>45706</v>
      </c>
      <c r="N73" s="140">
        <v>45707</v>
      </c>
      <c r="O73" s="141"/>
      <c r="P73" s="142"/>
    </row>
    <row r="74" spans="1:19">
      <c r="A74" s="174" t="s">
        <v>195</v>
      </c>
      <c r="B74" s="1"/>
      <c r="C74" s="1" t="s">
        <v>99</v>
      </c>
      <c r="D74" s="1" t="s">
        <v>39</v>
      </c>
      <c r="E74" s="1" t="s">
        <v>214</v>
      </c>
      <c r="F74" s="1" t="s">
        <v>214</v>
      </c>
      <c r="G74" s="1" t="s">
        <v>216</v>
      </c>
      <c r="H74" s="139">
        <v>3</v>
      </c>
      <c r="I74" s="139">
        <v>8</v>
      </c>
      <c r="J74" s="139">
        <v>8</v>
      </c>
      <c r="K74" s="139">
        <v>1</v>
      </c>
      <c r="L74" s="139">
        <v>8</v>
      </c>
      <c r="M74" s="1">
        <v>45708</v>
      </c>
      <c r="N74" s="140">
        <v>45713</v>
      </c>
      <c r="O74" s="141"/>
      <c r="P74" s="142"/>
      <c r="R74">
        <v>14</v>
      </c>
      <c r="S74">
        <v>14</v>
      </c>
    </row>
    <row r="75" spans="1:19">
      <c r="A75" s="143" t="s">
        <v>197</v>
      </c>
      <c r="B75" s="1"/>
      <c r="C75" s="1" t="s">
        <v>99</v>
      </c>
      <c r="D75" s="1" t="s">
        <v>25</v>
      </c>
      <c r="E75" s="1" t="s">
        <v>27</v>
      </c>
      <c r="F75" s="1" t="s">
        <v>27</v>
      </c>
      <c r="G75" s="1" t="s">
        <v>209</v>
      </c>
      <c r="H75" s="139">
        <v>1</v>
      </c>
      <c r="I75" s="139">
        <v>2</v>
      </c>
      <c r="J75" s="139">
        <v>2</v>
      </c>
      <c r="K75" s="139">
        <v>1</v>
      </c>
      <c r="L75" s="139">
        <v>2</v>
      </c>
      <c r="M75" s="1">
        <v>45722</v>
      </c>
      <c r="N75" s="140">
        <v>45722</v>
      </c>
      <c r="O75" s="141"/>
      <c r="P75" s="142"/>
    </row>
    <row r="76" spans="1:19">
      <c r="A76" s="143" t="s">
        <v>197</v>
      </c>
      <c r="B76" s="1"/>
      <c r="C76" s="1" t="s">
        <v>99</v>
      </c>
      <c r="D76" s="1" t="s">
        <v>102</v>
      </c>
      <c r="E76" s="1" t="s">
        <v>210</v>
      </c>
      <c r="F76" s="1" t="s">
        <v>102</v>
      </c>
      <c r="G76" s="1" t="s">
        <v>213</v>
      </c>
      <c r="H76" s="139">
        <v>2</v>
      </c>
      <c r="I76" s="139">
        <v>4</v>
      </c>
      <c r="J76" s="139">
        <v>4</v>
      </c>
      <c r="K76" s="139">
        <v>1</v>
      </c>
      <c r="L76" s="139">
        <v>4</v>
      </c>
      <c r="M76" s="1">
        <v>45708</v>
      </c>
      <c r="N76" s="140">
        <v>45709</v>
      </c>
      <c r="O76" s="141"/>
      <c r="P76" s="142"/>
    </row>
    <row r="77" spans="1:19">
      <c r="A77" s="143" t="s">
        <v>197</v>
      </c>
      <c r="B77" s="1"/>
      <c r="C77" s="1" t="s">
        <v>99</v>
      </c>
      <c r="D77" s="1" t="s">
        <v>39</v>
      </c>
      <c r="E77" s="1" t="s">
        <v>214</v>
      </c>
      <c r="F77" s="1" t="s">
        <v>214</v>
      </c>
      <c r="G77" s="1" t="s">
        <v>221</v>
      </c>
      <c r="H77" s="139">
        <v>3</v>
      </c>
      <c r="I77" s="139">
        <v>8</v>
      </c>
      <c r="J77" s="139">
        <v>8</v>
      </c>
      <c r="K77" s="139">
        <v>1</v>
      </c>
      <c r="L77" s="139">
        <v>8</v>
      </c>
      <c r="M77" s="1">
        <v>45712</v>
      </c>
      <c r="N77" s="140">
        <v>45715</v>
      </c>
      <c r="O77" s="141"/>
      <c r="P77" s="142"/>
      <c r="R77">
        <v>14</v>
      </c>
      <c r="S77">
        <v>14</v>
      </c>
    </row>
    <row r="78" spans="1:19">
      <c r="A78" s="165" t="s">
        <v>199</v>
      </c>
      <c r="B78" s="1"/>
      <c r="C78" s="1" t="s">
        <v>99</v>
      </c>
      <c r="D78" s="1" t="s">
        <v>25</v>
      </c>
      <c r="E78" s="1" t="s">
        <v>27</v>
      </c>
      <c r="F78" s="1" t="s">
        <v>27</v>
      </c>
      <c r="G78" s="1" t="s">
        <v>209</v>
      </c>
      <c r="H78" s="139">
        <v>1</v>
      </c>
      <c r="I78" s="139">
        <v>2</v>
      </c>
      <c r="J78" s="139">
        <v>2</v>
      </c>
      <c r="K78" s="139">
        <v>1</v>
      </c>
      <c r="L78" s="139">
        <v>2</v>
      </c>
      <c r="M78" s="1">
        <v>45723</v>
      </c>
      <c r="N78" s="140">
        <v>45723</v>
      </c>
      <c r="O78" s="141"/>
      <c r="P78" s="142"/>
    </row>
    <row r="79" spans="1:19">
      <c r="A79" s="165" t="s">
        <v>199</v>
      </c>
      <c r="B79" s="1"/>
      <c r="C79" s="1" t="s">
        <v>99</v>
      </c>
      <c r="D79" s="1" t="s">
        <v>102</v>
      </c>
      <c r="E79" s="1" t="s">
        <v>210</v>
      </c>
      <c r="F79" s="1" t="s">
        <v>102</v>
      </c>
      <c r="G79" s="1" t="s">
        <v>211</v>
      </c>
      <c r="H79" s="139">
        <v>2</v>
      </c>
      <c r="I79" s="139">
        <v>4</v>
      </c>
      <c r="J79" s="139">
        <v>4</v>
      </c>
      <c r="K79" s="139">
        <v>1</v>
      </c>
      <c r="L79" s="139">
        <v>4</v>
      </c>
      <c r="M79" s="1">
        <v>45708</v>
      </c>
      <c r="N79" s="140">
        <v>45709</v>
      </c>
      <c r="O79" s="141"/>
      <c r="P79" s="142"/>
    </row>
    <row r="80" spans="1:19">
      <c r="A80" s="165" t="s">
        <v>199</v>
      </c>
      <c r="B80" s="1"/>
      <c r="C80" s="1" t="s">
        <v>99</v>
      </c>
      <c r="D80" s="1" t="s">
        <v>39</v>
      </c>
      <c r="E80" s="1" t="s">
        <v>214</v>
      </c>
      <c r="F80" s="1" t="s">
        <v>214</v>
      </c>
      <c r="G80" s="1" t="s">
        <v>218</v>
      </c>
      <c r="H80" s="139">
        <v>3</v>
      </c>
      <c r="I80" s="139">
        <v>8</v>
      </c>
      <c r="J80" s="139">
        <v>8</v>
      </c>
      <c r="K80" s="139">
        <v>1</v>
      </c>
      <c r="L80" s="139">
        <v>8</v>
      </c>
      <c r="M80" s="1">
        <v>45712</v>
      </c>
      <c r="N80" s="140">
        <v>45715</v>
      </c>
      <c r="O80" s="141"/>
      <c r="P80" s="142"/>
      <c r="R80">
        <v>14</v>
      </c>
      <c r="S80">
        <v>14</v>
      </c>
    </row>
    <row r="81" spans="1:19">
      <c r="A81" s="166" t="s">
        <v>201</v>
      </c>
      <c r="B81" s="1"/>
      <c r="C81" s="1" t="s">
        <v>99</v>
      </c>
      <c r="D81" s="1" t="s">
        <v>25</v>
      </c>
      <c r="E81" s="1" t="s">
        <v>27</v>
      </c>
      <c r="F81" s="1" t="s">
        <v>27</v>
      </c>
      <c r="G81" s="1" t="s">
        <v>209</v>
      </c>
      <c r="H81" s="139">
        <v>1</v>
      </c>
      <c r="I81" s="139">
        <v>2</v>
      </c>
      <c r="J81" s="139">
        <v>2</v>
      </c>
      <c r="K81" s="139">
        <v>1</v>
      </c>
      <c r="L81" s="139">
        <v>2</v>
      </c>
      <c r="M81" s="1">
        <v>45726</v>
      </c>
      <c r="N81" s="140">
        <v>45726</v>
      </c>
      <c r="O81" s="141"/>
      <c r="P81" s="142"/>
    </row>
    <row r="82" spans="1:19">
      <c r="A82" s="166" t="s">
        <v>201</v>
      </c>
      <c r="B82" s="1"/>
      <c r="C82" s="1" t="s">
        <v>99</v>
      </c>
      <c r="D82" s="1" t="s">
        <v>102</v>
      </c>
      <c r="E82" s="1" t="s">
        <v>210</v>
      </c>
      <c r="F82" s="1" t="s">
        <v>102</v>
      </c>
      <c r="G82" s="1" t="s">
        <v>212</v>
      </c>
      <c r="H82" s="139">
        <v>2</v>
      </c>
      <c r="I82" s="139">
        <v>4</v>
      </c>
      <c r="J82" s="139">
        <v>4</v>
      </c>
      <c r="K82" s="139">
        <v>1</v>
      </c>
      <c r="L82" s="139">
        <v>4</v>
      </c>
      <c r="M82" s="1">
        <v>45708</v>
      </c>
      <c r="N82" s="140">
        <v>45709</v>
      </c>
      <c r="O82" s="141"/>
      <c r="P82" s="142"/>
    </row>
    <row r="83" spans="1:19">
      <c r="A83" s="166" t="s">
        <v>201</v>
      </c>
      <c r="B83" s="1"/>
      <c r="C83" s="1" t="s">
        <v>99</v>
      </c>
      <c r="D83" s="1" t="s">
        <v>39</v>
      </c>
      <c r="E83" s="1" t="s">
        <v>214</v>
      </c>
      <c r="F83" s="1" t="s">
        <v>214</v>
      </c>
      <c r="G83" s="1" t="s">
        <v>116</v>
      </c>
      <c r="H83" s="139">
        <v>3</v>
      </c>
      <c r="I83" s="139">
        <v>8</v>
      </c>
      <c r="J83" s="139">
        <v>8</v>
      </c>
      <c r="K83" s="139">
        <v>1</v>
      </c>
      <c r="L83" s="139">
        <v>8</v>
      </c>
      <c r="M83" s="1">
        <v>45712</v>
      </c>
      <c r="N83" s="140">
        <v>45715</v>
      </c>
      <c r="O83" s="141"/>
      <c r="P83" s="142"/>
      <c r="R83">
        <v>14</v>
      </c>
      <c r="S83">
        <v>14</v>
      </c>
    </row>
    <row r="84" spans="1:19">
      <c r="A84" s="167" t="s">
        <v>203</v>
      </c>
      <c r="B84" s="1"/>
      <c r="C84" s="1" t="s">
        <v>99</v>
      </c>
      <c r="D84" s="1" t="s">
        <v>25</v>
      </c>
      <c r="E84" s="1" t="s">
        <v>27</v>
      </c>
      <c r="F84" s="1" t="s">
        <v>27</v>
      </c>
      <c r="G84" s="1" t="s">
        <v>209</v>
      </c>
      <c r="H84" s="139">
        <v>1</v>
      </c>
      <c r="I84" s="139">
        <v>2</v>
      </c>
      <c r="J84" s="139">
        <v>2</v>
      </c>
      <c r="K84" s="139">
        <v>1</v>
      </c>
      <c r="L84" s="139">
        <v>2</v>
      </c>
      <c r="M84" s="1">
        <v>45727</v>
      </c>
      <c r="N84" s="140">
        <v>45727</v>
      </c>
      <c r="O84" s="141"/>
      <c r="P84" s="142"/>
    </row>
    <row r="85" spans="1:19">
      <c r="A85" s="167" t="s">
        <v>203</v>
      </c>
      <c r="B85" s="1"/>
      <c r="C85" s="1" t="s">
        <v>99</v>
      </c>
      <c r="D85" s="1" t="s">
        <v>102</v>
      </c>
      <c r="E85" s="1" t="s">
        <v>210</v>
      </c>
      <c r="F85" s="1" t="s">
        <v>102</v>
      </c>
      <c r="G85" s="1" t="s">
        <v>212</v>
      </c>
      <c r="H85" s="139">
        <v>2</v>
      </c>
      <c r="I85" s="139">
        <v>4</v>
      </c>
      <c r="J85" s="139">
        <v>4</v>
      </c>
      <c r="K85" s="139">
        <v>1</v>
      </c>
      <c r="L85" s="139">
        <v>4</v>
      </c>
      <c r="M85" s="1">
        <v>45712</v>
      </c>
      <c r="N85" s="140">
        <v>45713</v>
      </c>
      <c r="O85" s="141"/>
      <c r="P85" s="142"/>
    </row>
    <row r="86" spans="1:19">
      <c r="A86" s="167" t="s">
        <v>203</v>
      </c>
      <c r="B86" s="1"/>
      <c r="C86" s="1" t="s">
        <v>99</v>
      </c>
      <c r="D86" s="1" t="s">
        <v>39</v>
      </c>
      <c r="E86" s="1" t="s">
        <v>214</v>
      </c>
      <c r="F86" s="1" t="s">
        <v>214</v>
      </c>
      <c r="G86" s="1" t="s">
        <v>219</v>
      </c>
      <c r="H86" s="139">
        <v>3</v>
      </c>
      <c r="I86" s="139">
        <v>8</v>
      </c>
      <c r="J86" s="139">
        <v>8</v>
      </c>
      <c r="K86" s="139">
        <v>1</v>
      </c>
      <c r="L86" s="139">
        <v>8</v>
      </c>
      <c r="M86" s="1">
        <v>45714</v>
      </c>
      <c r="N86" s="140">
        <v>45721</v>
      </c>
      <c r="O86" s="141"/>
      <c r="P86" s="142"/>
      <c r="R86">
        <v>14</v>
      </c>
      <c r="S86">
        <v>14</v>
      </c>
    </row>
    <row r="87" spans="1:19">
      <c r="A87" s="168" t="s">
        <v>205</v>
      </c>
      <c r="B87" s="1"/>
      <c r="C87" s="1" t="s">
        <v>99</v>
      </c>
      <c r="D87" s="1" t="s">
        <v>25</v>
      </c>
      <c r="E87" s="1" t="s">
        <v>27</v>
      </c>
      <c r="F87" s="1" t="s">
        <v>27</v>
      </c>
      <c r="G87" s="1" t="s">
        <v>209</v>
      </c>
      <c r="H87" s="139">
        <v>1</v>
      </c>
      <c r="I87" s="139">
        <v>2</v>
      </c>
      <c r="J87" s="139">
        <v>2</v>
      </c>
      <c r="K87" s="139">
        <v>1</v>
      </c>
      <c r="L87" s="139">
        <v>2</v>
      </c>
      <c r="M87" s="1">
        <v>45728</v>
      </c>
      <c r="N87" s="140">
        <v>45728</v>
      </c>
      <c r="O87" s="141"/>
      <c r="P87" s="142"/>
    </row>
    <row r="88" spans="1:19">
      <c r="A88" s="168" t="s">
        <v>205</v>
      </c>
      <c r="B88" s="1"/>
      <c r="C88" s="1" t="s">
        <v>99</v>
      </c>
      <c r="D88" s="1" t="s">
        <v>102</v>
      </c>
      <c r="E88" s="1" t="s">
        <v>210</v>
      </c>
      <c r="F88" s="1" t="s">
        <v>102</v>
      </c>
      <c r="G88" s="1" t="s">
        <v>213</v>
      </c>
      <c r="H88" s="139">
        <v>2</v>
      </c>
      <c r="I88" s="139">
        <v>4</v>
      </c>
      <c r="J88" s="139">
        <v>4</v>
      </c>
      <c r="K88" s="139">
        <v>1</v>
      </c>
      <c r="L88" s="139">
        <v>4</v>
      </c>
      <c r="M88" s="1">
        <v>45712</v>
      </c>
      <c r="N88" s="140">
        <v>45713</v>
      </c>
      <c r="O88" s="141"/>
      <c r="P88" s="142"/>
    </row>
    <row r="89" spans="1:19">
      <c r="A89" s="168" t="s">
        <v>205</v>
      </c>
      <c r="B89" s="1"/>
      <c r="C89" s="1" t="s">
        <v>99</v>
      </c>
      <c r="D89" s="1" t="s">
        <v>39</v>
      </c>
      <c r="E89" s="1" t="s">
        <v>214</v>
      </c>
      <c r="F89" s="1" t="s">
        <v>214</v>
      </c>
      <c r="G89" s="1" t="s">
        <v>220</v>
      </c>
      <c r="H89" s="139">
        <v>3</v>
      </c>
      <c r="I89" s="139">
        <v>8</v>
      </c>
      <c r="J89" s="139">
        <v>8</v>
      </c>
      <c r="K89" s="139">
        <v>1</v>
      </c>
      <c r="L89" s="139">
        <v>8</v>
      </c>
      <c r="M89" s="1">
        <v>45714</v>
      </c>
      <c r="N89" s="140">
        <v>45721</v>
      </c>
      <c r="O89" s="141"/>
      <c r="P89" s="142"/>
      <c r="R89">
        <v>14</v>
      </c>
      <c r="S89">
        <v>14</v>
      </c>
    </row>
    <row r="90" spans="1:19">
      <c r="A90" s="176" t="s">
        <v>207</v>
      </c>
      <c r="B90" s="1"/>
      <c r="C90" s="1" t="s">
        <v>99</v>
      </c>
      <c r="D90" s="1" t="s">
        <v>25</v>
      </c>
      <c r="E90" s="1" t="s">
        <v>27</v>
      </c>
      <c r="F90" s="1" t="s">
        <v>27</v>
      </c>
      <c r="G90" s="1" t="s">
        <v>209</v>
      </c>
      <c r="H90" s="139">
        <v>1</v>
      </c>
      <c r="I90" s="139">
        <v>2</v>
      </c>
      <c r="J90" s="139">
        <v>2</v>
      </c>
      <c r="K90" s="139">
        <v>1</v>
      </c>
      <c r="L90" s="139">
        <v>2</v>
      </c>
      <c r="M90" s="1">
        <v>45729</v>
      </c>
      <c r="N90" s="140">
        <v>45729</v>
      </c>
      <c r="O90" s="141"/>
      <c r="P90" s="142"/>
    </row>
    <row r="91" spans="1:19">
      <c r="A91" s="176" t="s">
        <v>207</v>
      </c>
      <c r="B91" s="1"/>
      <c r="C91" s="1" t="s">
        <v>99</v>
      </c>
      <c r="D91" s="1" t="s">
        <v>102</v>
      </c>
      <c r="E91" s="1" t="s">
        <v>210</v>
      </c>
      <c r="F91" s="1" t="s">
        <v>102</v>
      </c>
      <c r="G91" s="1" t="s">
        <v>211</v>
      </c>
      <c r="H91" s="139">
        <v>2</v>
      </c>
      <c r="I91" s="139">
        <v>4</v>
      </c>
      <c r="J91" s="139">
        <v>4</v>
      </c>
      <c r="K91" s="139">
        <v>1</v>
      </c>
      <c r="L91" s="139">
        <v>4</v>
      </c>
      <c r="M91" s="1">
        <v>45712</v>
      </c>
      <c r="N91" s="140">
        <v>45713</v>
      </c>
      <c r="O91" s="141"/>
      <c r="P91" s="142"/>
    </row>
    <row r="92" spans="1:19">
      <c r="A92" s="176" t="s">
        <v>207</v>
      </c>
      <c r="B92" s="1"/>
      <c r="C92" s="1" t="s">
        <v>99</v>
      </c>
      <c r="D92" s="1" t="s">
        <v>39</v>
      </c>
      <c r="E92" s="1" t="s">
        <v>214</v>
      </c>
      <c r="F92" s="1" t="s">
        <v>214</v>
      </c>
      <c r="G92" s="1" t="s">
        <v>217</v>
      </c>
      <c r="H92" s="139">
        <v>3</v>
      </c>
      <c r="I92" s="139">
        <v>8</v>
      </c>
      <c r="J92" s="139">
        <v>8</v>
      </c>
      <c r="K92" s="139">
        <v>1</v>
      </c>
      <c r="L92" s="139">
        <v>8</v>
      </c>
      <c r="M92" s="1">
        <v>45714</v>
      </c>
      <c r="N92" s="140">
        <v>45721</v>
      </c>
      <c r="O92" s="141"/>
      <c r="P92" s="142"/>
      <c r="R92">
        <v>14</v>
      </c>
      <c r="S92">
        <v>14</v>
      </c>
    </row>
  </sheetData>
  <mergeCells count="1">
    <mergeCell ref="A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10" r:id="rId4" name="Button 18">
              <controlPr defaultSize="0" print="0" autoFill="0" autoPict="0" macro="[0]!updateDateExecution">
                <anchor>
                  <from>
                    <xdr:col>3</xdr:col>
                    <xdr:colOff>1000125</xdr:colOff>
                    <xdr:row>0</xdr:row>
                    <xdr:rowOff>85725</xdr:rowOff>
                  </from>
                  <to>
                    <xdr:col>5</xdr:col>
                    <xdr:colOff>1123950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Planning"/>
  <dimension ref="A1:BX41"/>
  <sheetViews>
    <sheetView showGridLines="0" zoomScale="115" zoomScaleNormal="115" workbookViewId="0">
      <pane xSplit="4" ySplit="4" topLeftCell="Q19" activePane="bottomRight" state="frozenSplit"/>
      <selection pane="topRight" activeCell="EI1" sqref="EI1"/>
      <selection pane="bottomLeft" activeCell="A5" sqref="A5"/>
      <selection pane="bottomRight"/>
    </sheetView>
  </sheetViews>
  <sheetFormatPr defaultColWidth="7.85546875" defaultRowHeight="15"/>
  <cols>
    <col min="1" max="4" width="10.7109375" customWidth="1"/>
    <col min="5" max="6" width="8.85546875" bestFit="1" customWidth="1"/>
    <col min="7" max="7" width="9.5703125" bestFit="1" customWidth="1"/>
    <col min="8" max="9" width="7.5703125" bestFit="1" customWidth="1"/>
    <col min="10" max="14" width="9.5703125" bestFit="1" customWidth="1"/>
    <col min="15" max="16" width="7.5703125" bestFit="1" customWidth="1"/>
    <col min="17" max="18" width="9.5703125" bestFit="1" customWidth="1"/>
    <col min="19" max="21" width="9.28515625" bestFit="1" customWidth="1"/>
    <col min="22" max="23" width="7.5703125" bestFit="1" customWidth="1"/>
    <col min="24" max="24" width="9.28515625" bestFit="1" customWidth="1"/>
    <col min="25" max="25" width="9.5703125" bestFit="1" customWidth="1"/>
    <col min="26" max="26" width="9.28515625" bestFit="1" customWidth="1"/>
    <col min="27" max="28" width="9.5703125" bestFit="1" customWidth="1"/>
    <col min="29" max="30" width="7.5703125" bestFit="1" customWidth="1"/>
    <col min="31" max="35" width="9.5703125" bestFit="1" customWidth="1"/>
    <col min="36" max="37" width="7.85546875" bestFit="1" customWidth="1"/>
    <col min="38" max="39" width="4.140625" customWidth="1"/>
    <col min="40" max="40" width="9.5703125" bestFit="1" customWidth="1"/>
    <col min="41" max="42" width="8.5703125" bestFit="1" customWidth="1"/>
    <col min="43" max="44" width="7.85546875" bestFit="1" customWidth="1"/>
    <col min="45" max="48" width="8.5703125" bestFit="1" customWidth="1"/>
    <col min="49" max="66" width="7.85546875" bestFit="1" customWidth="1"/>
    <col min="67" max="76" width="7.5703125" bestFit="1" customWidth="1"/>
    <col min="77" max="94" width="7.85546875" bestFit="1" customWidth="1"/>
    <col min="95" max="104" width="7.5703125" bestFit="1" customWidth="1"/>
    <col min="105" max="125" width="7.85546875" bestFit="1" customWidth="1"/>
    <col min="126" max="155" width="7.5703125" bestFit="1" customWidth="1"/>
    <col min="156" max="186" width="7.7109375" bestFit="1" customWidth="1"/>
    <col min="187" max="216" width="7.28515625" bestFit="1" customWidth="1"/>
    <col min="217" max="247" width="6.7109375" bestFit="1" customWidth="1"/>
    <col min="248" max="278" width="7.85546875" bestFit="1" customWidth="1"/>
    <col min="279" max="339" width="7.42578125" bestFit="1" customWidth="1"/>
    <col min="340" max="400" width="7.85546875" bestFit="1" customWidth="1"/>
    <col min="401" max="446" width="7.42578125" bestFit="1" customWidth="1"/>
    <col min="447" max="491" width="7.85546875" bestFit="1" customWidth="1"/>
  </cols>
  <sheetData>
    <row r="1" spans="1:76" ht="65.099999999999994" customHeight="1" thickBot="1"/>
    <row r="2" spans="1:76" ht="16.5" thickBot="1">
      <c r="A2" s="486" t="s">
        <v>11</v>
      </c>
      <c r="B2" s="486" t="s">
        <v>9</v>
      </c>
      <c r="C2" s="486" t="s">
        <v>10</v>
      </c>
      <c r="D2" s="486" t="s">
        <v>13</v>
      </c>
      <c r="E2" s="470" t="s">
        <v>101</v>
      </c>
      <c r="F2" s="470"/>
      <c r="G2" s="470"/>
      <c r="H2" s="470"/>
      <c r="I2" s="470"/>
      <c r="J2" s="470"/>
      <c r="K2" s="470"/>
      <c r="L2" s="470"/>
      <c r="M2" s="470"/>
      <c r="N2" s="470"/>
      <c r="O2" s="470"/>
      <c r="P2" s="470"/>
      <c r="Q2" s="470"/>
      <c r="R2" s="470"/>
      <c r="S2" s="470"/>
      <c r="T2" s="470"/>
      <c r="U2" s="470"/>
      <c r="V2" s="470"/>
      <c r="W2" s="470"/>
      <c r="X2" s="470"/>
      <c r="Y2" s="470"/>
      <c r="Z2" s="470"/>
      <c r="AA2" s="470"/>
      <c r="AB2" s="470"/>
      <c r="AC2" s="470"/>
      <c r="AD2" s="470"/>
      <c r="AE2" s="470"/>
      <c r="AF2" s="470"/>
      <c r="AG2" s="470"/>
      <c r="AH2" s="470"/>
      <c r="AI2" s="470"/>
      <c r="AJ2" s="470"/>
      <c r="AK2" s="470"/>
      <c r="AL2" s="470"/>
      <c r="AM2" s="470"/>
      <c r="AN2" s="470"/>
      <c r="AO2" s="470"/>
      <c r="AP2" s="470"/>
      <c r="AQ2" s="470"/>
      <c r="AR2" s="470"/>
      <c r="AS2" s="470"/>
      <c r="AT2" s="470"/>
      <c r="AU2" s="470"/>
      <c r="AV2" s="470"/>
      <c r="AW2" s="470"/>
      <c r="AX2" s="470"/>
      <c r="AY2" s="470"/>
      <c r="AZ2" s="470"/>
      <c r="BA2" s="470"/>
      <c r="BB2" s="470"/>
      <c r="BC2" s="470"/>
      <c r="BD2" s="470"/>
      <c r="BE2" s="470"/>
      <c r="BF2" s="470"/>
      <c r="BG2" s="470"/>
      <c r="BH2" s="470"/>
      <c r="BI2" s="470"/>
      <c r="BJ2" s="470"/>
      <c r="BK2" s="470"/>
      <c r="BL2" s="470"/>
      <c r="BM2" s="470"/>
      <c r="BN2" s="470"/>
      <c r="BO2" s="470"/>
      <c r="BP2" s="470"/>
      <c r="BQ2" s="470"/>
      <c r="BR2" s="470"/>
      <c r="BS2" s="470"/>
      <c r="BT2" s="470"/>
      <c r="BU2" s="470"/>
      <c r="BV2" s="470"/>
      <c r="BW2" s="470"/>
      <c r="BX2" s="470"/>
    </row>
    <row r="3" spans="1:76" ht="15.75" thickBot="1">
      <c r="A3" s="486"/>
      <c r="B3" s="486"/>
      <c r="C3" s="486"/>
      <c r="D3" s="486"/>
      <c r="E3" s="398">
        <v>45686</v>
      </c>
      <c r="F3" s="398">
        <v>45687</v>
      </c>
      <c r="G3" s="398">
        <v>45688</v>
      </c>
      <c r="H3" s="129" t="s">
        <v>117</v>
      </c>
      <c r="I3" s="129" t="s">
        <v>118</v>
      </c>
      <c r="J3" s="399" t="s">
        <v>224</v>
      </c>
      <c r="K3" s="399" t="s">
        <v>225</v>
      </c>
      <c r="L3" s="399" t="s">
        <v>226</v>
      </c>
      <c r="M3" s="399" t="s">
        <v>227</v>
      </c>
      <c r="N3" s="399" t="s">
        <v>228</v>
      </c>
      <c r="O3" s="129" t="s">
        <v>229</v>
      </c>
      <c r="P3" s="129" t="s">
        <v>230</v>
      </c>
      <c r="Q3" s="399" t="s">
        <v>231</v>
      </c>
      <c r="R3" s="399" t="s">
        <v>232</v>
      </c>
      <c r="S3" s="399" t="s">
        <v>233</v>
      </c>
      <c r="T3" s="399" t="s">
        <v>234</v>
      </c>
      <c r="U3" s="399" t="s">
        <v>235</v>
      </c>
      <c r="V3" s="129" t="s">
        <v>236</v>
      </c>
      <c r="W3" s="129" t="s">
        <v>237</v>
      </c>
      <c r="X3" s="399" t="s">
        <v>238</v>
      </c>
      <c r="Y3" s="399" t="s">
        <v>239</v>
      </c>
      <c r="Z3" s="399" t="s">
        <v>240</v>
      </c>
      <c r="AA3" s="399" t="s">
        <v>241</v>
      </c>
      <c r="AB3" s="399" t="s">
        <v>242</v>
      </c>
      <c r="AC3" s="129" t="s">
        <v>243</v>
      </c>
      <c r="AD3" s="129" t="s">
        <v>244</v>
      </c>
      <c r="AE3" s="399" t="s">
        <v>245</v>
      </c>
      <c r="AF3" s="399" t="s">
        <v>246</v>
      </c>
      <c r="AG3" s="399" t="s">
        <v>247</v>
      </c>
      <c r="AH3" s="399" t="s">
        <v>248</v>
      </c>
      <c r="AI3" s="399" t="s">
        <v>249</v>
      </c>
      <c r="AJ3" s="402">
        <v>45717</v>
      </c>
      <c r="AK3" s="402">
        <v>45718</v>
      </c>
      <c r="AL3" s="400">
        <v>45719</v>
      </c>
      <c r="AM3" s="400">
        <v>45720</v>
      </c>
      <c r="AN3" s="398">
        <v>45721</v>
      </c>
      <c r="AO3" s="398">
        <v>45722</v>
      </c>
      <c r="AP3" s="398">
        <v>45723</v>
      </c>
      <c r="AQ3" s="402">
        <v>45724</v>
      </c>
      <c r="AR3" s="402">
        <v>45725</v>
      </c>
      <c r="AS3" s="398">
        <v>45726</v>
      </c>
      <c r="AT3" s="398">
        <v>45727</v>
      </c>
      <c r="AU3" s="398">
        <v>45728</v>
      </c>
      <c r="AV3" s="398">
        <v>45729</v>
      </c>
      <c r="AW3" s="398">
        <v>45730</v>
      </c>
      <c r="AX3" s="402">
        <v>45731</v>
      </c>
      <c r="AY3" s="402">
        <v>45732</v>
      </c>
      <c r="AZ3" s="398">
        <v>45733</v>
      </c>
      <c r="BA3" s="398">
        <v>45734</v>
      </c>
      <c r="BB3" s="398">
        <v>45735</v>
      </c>
      <c r="BC3" s="398">
        <v>45736</v>
      </c>
      <c r="BD3" s="398">
        <v>45737</v>
      </c>
      <c r="BE3" s="402">
        <v>45738</v>
      </c>
      <c r="BF3" s="402">
        <v>45739</v>
      </c>
      <c r="BG3" s="398">
        <v>45740</v>
      </c>
      <c r="BH3" s="398">
        <v>45741</v>
      </c>
      <c r="BI3" s="398">
        <v>45742</v>
      </c>
      <c r="BJ3" s="398">
        <v>45743</v>
      </c>
      <c r="BK3" s="398">
        <v>45744</v>
      </c>
      <c r="BL3" s="402">
        <v>45745</v>
      </c>
      <c r="BM3" s="402">
        <v>45746</v>
      </c>
      <c r="BN3" s="398">
        <v>45747</v>
      </c>
      <c r="BO3" s="399" t="s">
        <v>250</v>
      </c>
      <c r="BP3" s="399" t="s">
        <v>251</v>
      </c>
      <c r="BQ3" s="399" t="s">
        <v>252</v>
      </c>
      <c r="BR3" s="399" t="s">
        <v>253</v>
      </c>
      <c r="BS3" s="129" t="s">
        <v>254</v>
      </c>
      <c r="BT3" s="129" t="s">
        <v>255</v>
      </c>
      <c r="BU3" s="399" t="s">
        <v>256</v>
      </c>
      <c r="BV3" s="399" t="s">
        <v>257</v>
      </c>
      <c r="BW3" s="399" t="s">
        <v>258</v>
      </c>
      <c r="BX3" s="399" t="s">
        <v>259</v>
      </c>
    </row>
    <row r="4" spans="1:76" ht="15.75" thickBot="1">
      <c r="A4" s="486"/>
      <c r="B4" s="486"/>
      <c r="C4" s="486"/>
      <c r="D4" s="486"/>
      <c r="E4" s="399" t="s">
        <v>3</v>
      </c>
      <c r="F4" s="399" t="s">
        <v>4</v>
      </c>
      <c r="G4" s="399" t="s">
        <v>5</v>
      </c>
      <c r="H4" s="129" t="s">
        <v>103</v>
      </c>
      <c r="I4" s="129" t="s">
        <v>104</v>
      </c>
      <c r="J4" s="399" t="s">
        <v>6</v>
      </c>
      <c r="K4" s="399" t="s">
        <v>7</v>
      </c>
      <c r="L4" s="399" t="s">
        <v>3</v>
      </c>
      <c r="M4" s="399" t="s">
        <v>4</v>
      </c>
      <c r="N4" s="399" t="s">
        <v>5</v>
      </c>
      <c r="O4" s="129" t="s">
        <v>103</v>
      </c>
      <c r="P4" s="129" t="s">
        <v>104</v>
      </c>
      <c r="Q4" s="399" t="s">
        <v>6</v>
      </c>
      <c r="R4" s="399" t="s">
        <v>7</v>
      </c>
      <c r="S4" s="399" t="s">
        <v>3</v>
      </c>
      <c r="T4" s="399" t="s">
        <v>4</v>
      </c>
      <c r="U4" s="399" t="s">
        <v>5</v>
      </c>
      <c r="V4" s="129" t="s">
        <v>103</v>
      </c>
      <c r="W4" s="129" t="s">
        <v>104</v>
      </c>
      <c r="X4" s="399" t="s">
        <v>6</v>
      </c>
      <c r="Y4" s="399" t="s">
        <v>7</v>
      </c>
      <c r="Z4" s="399" t="s">
        <v>3</v>
      </c>
      <c r="AA4" s="399" t="s">
        <v>4</v>
      </c>
      <c r="AB4" s="399" t="s">
        <v>5</v>
      </c>
      <c r="AC4" s="129" t="s">
        <v>103</v>
      </c>
      <c r="AD4" s="129" t="s">
        <v>104</v>
      </c>
      <c r="AE4" s="399" t="s">
        <v>6</v>
      </c>
      <c r="AF4" s="399" t="s">
        <v>7</v>
      </c>
      <c r="AG4" s="399" t="s">
        <v>3</v>
      </c>
      <c r="AH4" s="399" t="s">
        <v>4</v>
      </c>
      <c r="AI4" s="399" t="s">
        <v>5</v>
      </c>
      <c r="AJ4" s="129" t="s">
        <v>103</v>
      </c>
      <c r="AK4" s="129" t="s">
        <v>104</v>
      </c>
      <c r="AL4" s="401" t="s">
        <v>6</v>
      </c>
      <c r="AM4" s="401" t="s">
        <v>7</v>
      </c>
      <c r="AN4" s="399" t="s">
        <v>3</v>
      </c>
      <c r="AO4" s="399" t="s">
        <v>4</v>
      </c>
      <c r="AP4" s="399" t="s">
        <v>5</v>
      </c>
      <c r="AQ4" s="129" t="s">
        <v>103</v>
      </c>
      <c r="AR4" s="129" t="s">
        <v>104</v>
      </c>
      <c r="AS4" s="399" t="s">
        <v>6</v>
      </c>
      <c r="AT4" s="399" t="s">
        <v>7</v>
      </c>
      <c r="AU4" s="399" t="s">
        <v>3</v>
      </c>
      <c r="AV4" s="399" t="s">
        <v>4</v>
      </c>
      <c r="AW4" s="399" t="s">
        <v>5</v>
      </c>
      <c r="AX4" s="129" t="s">
        <v>103</v>
      </c>
      <c r="AY4" s="129" t="s">
        <v>104</v>
      </c>
      <c r="AZ4" s="399" t="s">
        <v>6</v>
      </c>
      <c r="BA4" s="399" t="s">
        <v>7</v>
      </c>
      <c r="BB4" s="399" t="s">
        <v>3</v>
      </c>
      <c r="BC4" s="399" t="s">
        <v>4</v>
      </c>
      <c r="BD4" s="399" t="s">
        <v>5</v>
      </c>
      <c r="BE4" s="129" t="s">
        <v>103</v>
      </c>
      <c r="BF4" s="129" t="s">
        <v>104</v>
      </c>
      <c r="BG4" s="399" t="s">
        <v>6</v>
      </c>
      <c r="BH4" s="399" t="s">
        <v>7</v>
      </c>
      <c r="BI4" s="399" t="s">
        <v>3</v>
      </c>
      <c r="BJ4" s="399" t="s">
        <v>4</v>
      </c>
      <c r="BK4" s="399" t="s">
        <v>5</v>
      </c>
      <c r="BL4" s="129" t="s">
        <v>103</v>
      </c>
      <c r="BM4" s="129" t="s">
        <v>104</v>
      </c>
      <c r="BN4" s="399" t="s">
        <v>6</v>
      </c>
      <c r="BO4" s="399" t="s">
        <v>7</v>
      </c>
      <c r="BP4" s="399" t="s">
        <v>3</v>
      </c>
      <c r="BQ4" s="399" t="s">
        <v>4</v>
      </c>
      <c r="BR4" s="399" t="s">
        <v>5</v>
      </c>
      <c r="BS4" s="129" t="s">
        <v>103</v>
      </c>
      <c r="BT4" s="129" t="s">
        <v>104</v>
      </c>
      <c r="BU4" s="399" t="s">
        <v>6</v>
      </c>
      <c r="BV4" s="399" t="s">
        <v>7</v>
      </c>
      <c r="BW4" s="399" t="s">
        <v>3</v>
      </c>
      <c r="BX4" s="399" t="s">
        <v>4</v>
      </c>
    </row>
    <row r="5" spans="1:76" ht="15.75" thickBot="1">
      <c r="A5" s="484" t="s">
        <v>99</v>
      </c>
      <c r="B5" s="487" t="s">
        <v>27</v>
      </c>
      <c r="C5" s="487" t="s">
        <v>209</v>
      </c>
      <c r="D5" s="454" t="s">
        <v>20</v>
      </c>
      <c r="E5" s="403" t="s">
        <v>349</v>
      </c>
      <c r="F5" s="404" t="s">
        <v>262</v>
      </c>
      <c r="G5" s="405" t="s">
        <v>265</v>
      </c>
      <c r="H5" s="474"/>
      <c r="I5" s="474"/>
      <c r="J5" s="406" t="s">
        <v>268</v>
      </c>
      <c r="K5" s="407" t="s">
        <v>271</v>
      </c>
      <c r="L5" s="408" t="s">
        <v>274</v>
      </c>
      <c r="M5" s="431" t="s">
        <v>277</v>
      </c>
      <c r="N5" s="432" t="s">
        <v>280</v>
      </c>
      <c r="O5" s="474"/>
      <c r="P5" s="474"/>
      <c r="Q5" s="433" t="s">
        <v>283</v>
      </c>
      <c r="R5" s="434" t="s">
        <v>286</v>
      </c>
      <c r="S5" s="435" t="s">
        <v>289</v>
      </c>
      <c r="T5" s="436" t="s">
        <v>292</v>
      </c>
      <c r="U5" s="437" t="s">
        <v>295</v>
      </c>
      <c r="V5" s="474"/>
      <c r="W5" s="474"/>
      <c r="X5" s="438" t="s">
        <v>298</v>
      </c>
      <c r="Y5" s="439" t="s">
        <v>301</v>
      </c>
      <c r="Z5" s="440" t="s">
        <v>304</v>
      </c>
      <c r="AA5" s="441" t="s">
        <v>307</v>
      </c>
      <c r="AB5" s="442" t="s">
        <v>310</v>
      </c>
      <c r="AC5" s="474"/>
      <c r="AD5" s="474"/>
      <c r="AE5" s="443" t="s">
        <v>313</v>
      </c>
      <c r="AF5" s="444" t="s">
        <v>316</v>
      </c>
      <c r="AG5" s="408" t="s">
        <v>319</v>
      </c>
      <c r="AH5" s="445" t="s">
        <v>322</v>
      </c>
      <c r="AI5" s="446" t="s">
        <v>325</v>
      </c>
      <c r="AJ5" s="474"/>
      <c r="AK5" s="474"/>
      <c r="AL5" s="471" t="s">
        <v>18</v>
      </c>
      <c r="AM5" s="471" t="s">
        <v>18</v>
      </c>
      <c r="AN5" s="447" t="s">
        <v>328</v>
      </c>
      <c r="AO5" s="406" t="s">
        <v>331</v>
      </c>
      <c r="AP5" s="448" t="s">
        <v>334</v>
      </c>
      <c r="AQ5" s="474"/>
      <c r="AR5" s="474"/>
      <c r="AS5" s="449" t="s">
        <v>337</v>
      </c>
      <c r="AT5" s="450" t="s">
        <v>340</v>
      </c>
      <c r="AU5" s="451" t="s">
        <v>343</v>
      </c>
      <c r="AV5" s="452" t="s">
        <v>346</v>
      </c>
      <c r="AX5" s="474"/>
      <c r="AY5" s="474"/>
      <c r="BE5" s="474"/>
      <c r="BF5" s="474"/>
      <c r="BL5" s="474"/>
      <c r="BM5" s="474"/>
      <c r="BS5" s="474"/>
      <c r="BT5" s="474"/>
    </row>
    <row r="6" spans="1:76" ht="15.75" thickBot="1">
      <c r="A6" s="484"/>
      <c r="B6" s="487"/>
      <c r="C6" s="487"/>
      <c r="D6" s="454" t="s">
        <v>12</v>
      </c>
      <c r="E6" s="403" t="s">
        <v>349</v>
      </c>
      <c r="F6" s="404" t="s">
        <v>262</v>
      </c>
      <c r="G6" s="405" t="s">
        <v>265</v>
      </c>
      <c r="H6" s="475"/>
      <c r="I6" s="475"/>
      <c r="J6" s="406" t="s">
        <v>268</v>
      </c>
      <c r="K6" s="407" t="s">
        <v>271</v>
      </c>
      <c r="L6" s="408" t="s">
        <v>274</v>
      </c>
      <c r="M6" s="431" t="s">
        <v>277</v>
      </c>
      <c r="N6" s="432" t="s">
        <v>280</v>
      </c>
      <c r="O6" s="475"/>
      <c r="P6" s="475"/>
      <c r="Q6" s="433" t="s">
        <v>283</v>
      </c>
      <c r="R6" s="434" t="s">
        <v>286</v>
      </c>
      <c r="S6" s="435" t="s">
        <v>289</v>
      </c>
      <c r="T6" s="436" t="s">
        <v>292</v>
      </c>
      <c r="U6" s="437" t="s">
        <v>295</v>
      </c>
      <c r="V6" s="475"/>
      <c r="W6" s="475"/>
      <c r="X6" s="438" t="s">
        <v>298</v>
      </c>
      <c r="Y6" s="439" t="s">
        <v>301</v>
      </c>
      <c r="Z6" s="440" t="s">
        <v>304</v>
      </c>
      <c r="AA6" s="441" t="s">
        <v>307</v>
      </c>
      <c r="AB6" s="442" t="s">
        <v>310</v>
      </c>
      <c r="AC6" s="475"/>
      <c r="AD6" s="475"/>
      <c r="AE6" s="443" t="s">
        <v>313</v>
      </c>
      <c r="AF6" s="444" t="s">
        <v>316</v>
      </c>
      <c r="AG6" s="408" t="s">
        <v>319</v>
      </c>
      <c r="AH6" s="445" t="s">
        <v>322</v>
      </c>
      <c r="AI6" s="446" t="s">
        <v>325</v>
      </c>
      <c r="AJ6" s="475"/>
      <c r="AK6" s="475"/>
      <c r="AL6" s="472"/>
      <c r="AM6" s="472"/>
      <c r="AN6" s="447" t="s">
        <v>328</v>
      </c>
      <c r="AO6" s="406" t="s">
        <v>331</v>
      </c>
      <c r="AP6" s="448" t="s">
        <v>334</v>
      </c>
      <c r="AQ6" s="475"/>
      <c r="AR6" s="475"/>
      <c r="AS6" s="449" t="s">
        <v>337</v>
      </c>
      <c r="AT6" s="450" t="s">
        <v>340</v>
      </c>
      <c r="AU6" s="451" t="s">
        <v>343</v>
      </c>
      <c r="AV6" s="452" t="s">
        <v>346</v>
      </c>
      <c r="AX6" s="475"/>
      <c r="AY6" s="475"/>
      <c r="BE6" s="475"/>
      <c r="BF6" s="475"/>
      <c r="BL6" s="475"/>
      <c r="BM6" s="475"/>
      <c r="BS6" s="475"/>
      <c r="BT6" s="475"/>
    </row>
    <row r="7" spans="1:76" ht="15.75" thickBot="1">
      <c r="A7" s="484" t="s">
        <v>99</v>
      </c>
      <c r="B7" s="487" t="s">
        <v>210</v>
      </c>
      <c r="C7" s="487" t="s">
        <v>211</v>
      </c>
      <c r="D7" s="454" t="s">
        <v>20</v>
      </c>
      <c r="E7" s="405" t="s">
        <v>266</v>
      </c>
      <c r="F7" s="405" t="s">
        <v>266</v>
      </c>
      <c r="G7" s="408" t="s">
        <v>275</v>
      </c>
      <c r="H7" s="475"/>
      <c r="I7" s="475"/>
      <c r="J7" s="408" t="s">
        <v>275</v>
      </c>
      <c r="K7" s="432" t="s">
        <v>281</v>
      </c>
      <c r="L7" s="432" t="s">
        <v>281</v>
      </c>
      <c r="M7" s="434" t="s">
        <v>287</v>
      </c>
      <c r="N7" s="434" t="s">
        <v>287</v>
      </c>
      <c r="O7" s="475"/>
      <c r="P7" s="475"/>
      <c r="Q7" s="438" t="s">
        <v>299</v>
      </c>
      <c r="R7" s="438" t="s">
        <v>299</v>
      </c>
      <c r="S7" s="440" t="s">
        <v>305</v>
      </c>
      <c r="T7" s="440" t="s">
        <v>305</v>
      </c>
      <c r="U7" s="444" t="s">
        <v>317</v>
      </c>
      <c r="V7" s="475"/>
      <c r="W7" s="475"/>
      <c r="X7" s="444" t="s">
        <v>317</v>
      </c>
      <c r="Y7" s="445" t="s">
        <v>323</v>
      </c>
      <c r="Z7" s="445" t="s">
        <v>323</v>
      </c>
      <c r="AA7" s="448" t="s">
        <v>335</v>
      </c>
      <c r="AB7" s="448" t="s">
        <v>335</v>
      </c>
      <c r="AC7" s="475"/>
      <c r="AD7" s="475"/>
      <c r="AE7" s="452" t="s">
        <v>347</v>
      </c>
      <c r="AF7" s="452" t="s">
        <v>347</v>
      </c>
      <c r="AJ7" s="475"/>
      <c r="AK7" s="475"/>
      <c r="AL7" s="472"/>
      <c r="AM7" s="472"/>
      <c r="AQ7" s="475"/>
      <c r="AR7" s="475"/>
      <c r="AX7" s="475"/>
      <c r="AY7" s="475"/>
      <c r="BE7" s="475"/>
      <c r="BF7" s="475"/>
      <c r="BL7" s="475"/>
      <c r="BM7" s="475"/>
      <c r="BS7" s="475"/>
      <c r="BT7" s="475"/>
    </row>
    <row r="8" spans="1:76" ht="15.75" thickBot="1">
      <c r="A8" s="484"/>
      <c r="B8" s="487"/>
      <c r="C8" s="487"/>
      <c r="D8" s="454" t="s">
        <v>12</v>
      </c>
      <c r="E8" s="405" t="s">
        <v>266</v>
      </c>
      <c r="F8" s="405" t="s">
        <v>266</v>
      </c>
      <c r="G8" s="408" t="s">
        <v>275</v>
      </c>
      <c r="H8" s="475"/>
      <c r="I8" s="475"/>
      <c r="J8" s="408" t="s">
        <v>275</v>
      </c>
      <c r="K8" s="432" t="s">
        <v>281</v>
      </c>
      <c r="L8" s="432" t="s">
        <v>281</v>
      </c>
      <c r="M8" s="434" t="s">
        <v>287</v>
      </c>
      <c r="N8" s="434" t="s">
        <v>287</v>
      </c>
      <c r="O8" s="475"/>
      <c r="P8" s="475"/>
      <c r="Q8" s="438" t="s">
        <v>299</v>
      </c>
      <c r="R8" s="438" t="s">
        <v>299</v>
      </c>
      <c r="S8" s="440" t="s">
        <v>305</v>
      </c>
      <c r="T8" s="440" t="s">
        <v>305</v>
      </c>
      <c r="U8" s="444" t="s">
        <v>317</v>
      </c>
      <c r="V8" s="475"/>
      <c r="W8" s="475"/>
      <c r="X8" s="444" t="s">
        <v>317</v>
      </c>
      <c r="Y8" s="445" t="s">
        <v>323</v>
      </c>
      <c r="Z8" s="445" t="s">
        <v>323</v>
      </c>
      <c r="AA8" s="448" t="s">
        <v>335</v>
      </c>
      <c r="AB8" s="448" t="s">
        <v>335</v>
      </c>
      <c r="AC8" s="475"/>
      <c r="AD8" s="475"/>
      <c r="AE8" s="452" t="s">
        <v>347</v>
      </c>
      <c r="AF8" s="452" t="s">
        <v>347</v>
      </c>
      <c r="AJ8" s="475"/>
      <c r="AK8" s="475"/>
      <c r="AL8" s="472"/>
      <c r="AM8" s="472"/>
      <c r="AQ8" s="475"/>
      <c r="AR8" s="475"/>
      <c r="AX8" s="475"/>
      <c r="AY8" s="475"/>
      <c r="BE8" s="475"/>
      <c r="BF8" s="475"/>
      <c r="BL8" s="475"/>
      <c r="BM8" s="475"/>
      <c r="BS8" s="475"/>
      <c r="BT8" s="475"/>
    </row>
    <row r="9" spans="1:76" ht="15.75" thickBot="1">
      <c r="A9" s="488" t="s">
        <v>99</v>
      </c>
      <c r="B9" s="485" t="s">
        <v>210</v>
      </c>
      <c r="C9" s="485" t="s">
        <v>212</v>
      </c>
      <c r="D9" s="455" t="s">
        <v>20</v>
      </c>
      <c r="E9" s="404" t="s">
        <v>263</v>
      </c>
      <c r="F9" s="404" t="s">
        <v>263</v>
      </c>
      <c r="G9" s="407" t="s">
        <v>272</v>
      </c>
      <c r="H9" s="475"/>
      <c r="I9" s="475"/>
      <c r="J9" s="407" t="s">
        <v>272</v>
      </c>
      <c r="K9" s="433" t="s">
        <v>284</v>
      </c>
      <c r="L9" s="433" t="s">
        <v>284</v>
      </c>
      <c r="M9" s="436" t="s">
        <v>293</v>
      </c>
      <c r="N9" s="436" t="s">
        <v>293</v>
      </c>
      <c r="O9" s="475"/>
      <c r="P9" s="475"/>
      <c r="Q9" s="439" t="s">
        <v>302</v>
      </c>
      <c r="R9" s="439" t="s">
        <v>302</v>
      </c>
      <c r="S9" s="442" t="s">
        <v>311</v>
      </c>
      <c r="T9" s="442" t="s">
        <v>311</v>
      </c>
      <c r="U9" s="443" t="s">
        <v>314</v>
      </c>
      <c r="V9" s="475"/>
      <c r="W9" s="475"/>
      <c r="X9" s="443" t="s">
        <v>314</v>
      </c>
      <c r="Y9" s="447" t="s">
        <v>329</v>
      </c>
      <c r="Z9" s="447" t="s">
        <v>329</v>
      </c>
      <c r="AA9" s="449" t="s">
        <v>338</v>
      </c>
      <c r="AB9" s="449" t="s">
        <v>338</v>
      </c>
      <c r="AC9" s="475"/>
      <c r="AD9" s="475"/>
      <c r="AE9" s="450" t="s">
        <v>341</v>
      </c>
      <c r="AF9" s="450" t="s">
        <v>341</v>
      </c>
      <c r="AJ9" s="475"/>
      <c r="AK9" s="475"/>
      <c r="AL9" s="472"/>
      <c r="AM9" s="472"/>
      <c r="AQ9" s="475"/>
      <c r="AR9" s="475"/>
      <c r="AX9" s="475"/>
      <c r="AY9" s="475"/>
      <c r="BE9" s="475"/>
      <c r="BF9" s="475"/>
      <c r="BL9" s="475"/>
      <c r="BM9" s="475"/>
      <c r="BS9" s="475"/>
      <c r="BT9" s="475"/>
    </row>
    <row r="10" spans="1:76" ht="15.75" thickBot="1">
      <c r="A10" s="488"/>
      <c r="B10" s="485"/>
      <c r="C10" s="485"/>
      <c r="D10" s="455" t="s">
        <v>12</v>
      </c>
      <c r="E10" s="404" t="s">
        <v>263</v>
      </c>
      <c r="F10" s="404" t="s">
        <v>263</v>
      </c>
      <c r="G10" s="407" t="s">
        <v>272</v>
      </c>
      <c r="H10" s="475"/>
      <c r="I10" s="475"/>
      <c r="J10" s="407" t="s">
        <v>272</v>
      </c>
      <c r="K10" s="433" t="s">
        <v>284</v>
      </c>
      <c r="L10" s="433" t="s">
        <v>284</v>
      </c>
      <c r="M10" s="436" t="s">
        <v>293</v>
      </c>
      <c r="N10" s="436" t="s">
        <v>293</v>
      </c>
      <c r="O10" s="475"/>
      <c r="P10" s="475"/>
      <c r="Q10" s="439" t="s">
        <v>302</v>
      </c>
      <c r="R10" s="439" t="s">
        <v>302</v>
      </c>
      <c r="S10" s="442" t="s">
        <v>311</v>
      </c>
      <c r="T10" s="442" t="s">
        <v>311</v>
      </c>
      <c r="U10" s="443" t="s">
        <v>314</v>
      </c>
      <c r="V10" s="475"/>
      <c r="W10" s="475"/>
      <c r="X10" s="443" t="s">
        <v>314</v>
      </c>
      <c r="Y10" s="447" t="s">
        <v>329</v>
      </c>
      <c r="Z10" s="447" t="s">
        <v>329</v>
      </c>
      <c r="AA10" s="449" t="s">
        <v>338</v>
      </c>
      <c r="AB10" s="449" t="s">
        <v>338</v>
      </c>
      <c r="AC10" s="475"/>
      <c r="AD10" s="475"/>
      <c r="AE10" s="450" t="s">
        <v>341</v>
      </c>
      <c r="AF10" s="450" t="s">
        <v>341</v>
      </c>
      <c r="AJ10" s="475"/>
      <c r="AK10" s="475"/>
      <c r="AL10" s="472"/>
      <c r="AM10" s="472"/>
      <c r="AQ10" s="475"/>
      <c r="AR10" s="475"/>
      <c r="AX10" s="475"/>
      <c r="AY10" s="475"/>
      <c r="BE10" s="475"/>
      <c r="BF10" s="475"/>
      <c r="BL10" s="475"/>
      <c r="BM10" s="475"/>
      <c r="BS10" s="475"/>
      <c r="BT10" s="475"/>
    </row>
    <row r="11" spans="1:76" ht="15.75" thickBot="1">
      <c r="A11" s="488" t="s">
        <v>99</v>
      </c>
      <c r="B11" s="485" t="s">
        <v>210</v>
      </c>
      <c r="C11" s="485" t="s">
        <v>213</v>
      </c>
      <c r="D11" s="455" t="s">
        <v>20</v>
      </c>
      <c r="E11" s="403" t="s">
        <v>260</v>
      </c>
      <c r="F11" s="403" t="s">
        <v>260</v>
      </c>
      <c r="G11" s="406" t="s">
        <v>269</v>
      </c>
      <c r="H11" s="475"/>
      <c r="I11" s="475"/>
      <c r="J11" s="406" t="s">
        <v>269</v>
      </c>
      <c r="K11" s="431" t="s">
        <v>278</v>
      </c>
      <c r="L11" s="431" t="s">
        <v>278</v>
      </c>
      <c r="M11" s="435" t="s">
        <v>290</v>
      </c>
      <c r="N11" s="435" t="s">
        <v>290</v>
      </c>
      <c r="O11" s="475"/>
      <c r="P11" s="475"/>
      <c r="Q11" s="437" t="s">
        <v>296</v>
      </c>
      <c r="R11" s="437" t="s">
        <v>296</v>
      </c>
      <c r="S11" s="441" t="s">
        <v>308</v>
      </c>
      <c r="T11" s="441" t="s">
        <v>308</v>
      </c>
      <c r="U11" s="408" t="s">
        <v>320</v>
      </c>
      <c r="V11" s="475"/>
      <c r="W11" s="475"/>
      <c r="X11" s="408" t="s">
        <v>320</v>
      </c>
      <c r="Y11" s="446" t="s">
        <v>326</v>
      </c>
      <c r="Z11" s="446" t="s">
        <v>326</v>
      </c>
      <c r="AA11" s="406" t="s">
        <v>332</v>
      </c>
      <c r="AB11" s="406" t="s">
        <v>332</v>
      </c>
      <c r="AC11" s="475"/>
      <c r="AD11" s="475"/>
      <c r="AE11" s="451" t="s">
        <v>344</v>
      </c>
      <c r="AF11" s="451" t="s">
        <v>344</v>
      </c>
      <c r="AJ11" s="475"/>
      <c r="AK11" s="475"/>
      <c r="AL11" s="472"/>
      <c r="AM11" s="472"/>
      <c r="AQ11" s="475"/>
      <c r="AR11" s="475"/>
      <c r="AX11" s="475"/>
      <c r="AY11" s="475"/>
      <c r="BE11" s="475"/>
      <c r="BF11" s="475"/>
      <c r="BL11" s="475"/>
      <c r="BM11" s="475"/>
      <c r="BS11" s="475"/>
      <c r="BT11" s="475"/>
    </row>
    <row r="12" spans="1:76" ht="15.75" thickBot="1">
      <c r="A12" s="488"/>
      <c r="B12" s="485"/>
      <c r="C12" s="485"/>
      <c r="D12" s="455" t="s">
        <v>12</v>
      </c>
      <c r="E12" s="403" t="s">
        <v>260</v>
      </c>
      <c r="F12" s="403" t="s">
        <v>260</v>
      </c>
      <c r="G12" s="406" t="s">
        <v>269</v>
      </c>
      <c r="H12" s="475"/>
      <c r="I12" s="475"/>
      <c r="J12" s="406" t="s">
        <v>269</v>
      </c>
      <c r="K12" s="431" t="s">
        <v>278</v>
      </c>
      <c r="L12" s="431" t="s">
        <v>278</v>
      </c>
      <c r="M12" s="435" t="s">
        <v>290</v>
      </c>
      <c r="N12" s="435" t="s">
        <v>290</v>
      </c>
      <c r="O12" s="475"/>
      <c r="P12" s="475"/>
      <c r="Q12" s="437" t="s">
        <v>296</v>
      </c>
      <c r="R12" s="437" t="s">
        <v>296</v>
      </c>
      <c r="S12" s="441" t="s">
        <v>308</v>
      </c>
      <c r="T12" s="441" t="s">
        <v>308</v>
      </c>
      <c r="U12" s="408" t="s">
        <v>320</v>
      </c>
      <c r="V12" s="475"/>
      <c r="W12" s="475"/>
      <c r="X12" s="408" t="s">
        <v>320</v>
      </c>
      <c r="Y12" s="446" t="s">
        <v>326</v>
      </c>
      <c r="Z12" s="446" t="s">
        <v>326</v>
      </c>
      <c r="AA12" s="406" t="s">
        <v>332</v>
      </c>
      <c r="AB12" s="406" t="s">
        <v>332</v>
      </c>
      <c r="AC12" s="475"/>
      <c r="AD12" s="475"/>
      <c r="AE12" s="451" t="s">
        <v>344</v>
      </c>
      <c r="AF12" s="451" t="s">
        <v>344</v>
      </c>
      <c r="AJ12" s="475"/>
      <c r="AK12" s="475"/>
      <c r="AL12" s="472"/>
      <c r="AM12" s="472"/>
      <c r="AQ12" s="475"/>
      <c r="AR12" s="475"/>
      <c r="AX12" s="475"/>
      <c r="AY12" s="475"/>
      <c r="BE12" s="475"/>
      <c r="BF12" s="475"/>
      <c r="BL12" s="475"/>
      <c r="BM12" s="475"/>
      <c r="BS12" s="475"/>
      <c r="BT12" s="475"/>
    </row>
    <row r="13" spans="1:76" ht="15.75" thickBot="1">
      <c r="A13" s="477" t="s">
        <v>99</v>
      </c>
      <c r="B13" s="478" t="s">
        <v>214</v>
      </c>
      <c r="C13" s="478" t="s">
        <v>215</v>
      </c>
      <c r="D13" s="453" t="s">
        <v>20</v>
      </c>
      <c r="H13" s="475"/>
      <c r="I13" s="475"/>
      <c r="K13" s="406" t="s">
        <v>270</v>
      </c>
      <c r="L13" s="406" t="s">
        <v>270</v>
      </c>
      <c r="M13" s="406" t="s">
        <v>270</v>
      </c>
      <c r="N13" s="406" t="s">
        <v>270</v>
      </c>
      <c r="O13" s="475"/>
      <c r="P13" s="475"/>
      <c r="Q13" s="406" t="s">
        <v>270</v>
      </c>
      <c r="S13" s="438" t="s">
        <v>300</v>
      </c>
      <c r="T13" s="438" t="s">
        <v>300</v>
      </c>
      <c r="U13" s="438" t="s">
        <v>300</v>
      </c>
      <c r="V13" s="475"/>
      <c r="W13" s="475"/>
      <c r="X13" s="438" t="s">
        <v>300</v>
      </c>
      <c r="AA13" s="446" t="s">
        <v>327</v>
      </c>
      <c r="AB13" s="446" t="s">
        <v>327</v>
      </c>
      <c r="AC13" s="475"/>
      <c r="AD13" s="475"/>
      <c r="AE13" s="446" t="s">
        <v>327</v>
      </c>
      <c r="AF13" s="446" t="s">
        <v>327</v>
      </c>
      <c r="AG13" s="446" t="s">
        <v>327</v>
      </c>
      <c r="AJ13" s="475"/>
      <c r="AK13" s="475"/>
      <c r="AL13" s="472"/>
      <c r="AM13" s="472"/>
      <c r="AQ13" s="475"/>
      <c r="AR13" s="475"/>
      <c r="AX13" s="475"/>
      <c r="AY13" s="475"/>
      <c r="BE13" s="475"/>
      <c r="BF13" s="475"/>
      <c r="BL13" s="475"/>
      <c r="BM13" s="475"/>
      <c r="BS13" s="475"/>
      <c r="BT13" s="475"/>
    </row>
    <row r="14" spans="1:76" ht="15.75" thickBot="1">
      <c r="A14" s="477"/>
      <c r="B14" s="478"/>
      <c r="C14" s="478"/>
      <c r="D14" s="453" t="s">
        <v>12</v>
      </c>
      <c r="H14" s="475"/>
      <c r="I14" s="475"/>
      <c r="K14" s="406" t="s">
        <v>270</v>
      </c>
      <c r="L14" s="406" t="s">
        <v>270</v>
      </c>
      <c r="M14" s="406" t="s">
        <v>270</v>
      </c>
      <c r="N14" s="406" t="s">
        <v>270</v>
      </c>
      <c r="O14" s="475"/>
      <c r="P14" s="475"/>
      <c r="Q14" s="406" t="s">
        <v>270</v>
      </c>
      <c r="S14" s="438" t="s">
        <v>300</v>
      </c>
      <c r="T14" s="438" t="s">
        <v>300</v>
      </c>
      <c r="U14" s="438" t="s">
        <v>300</v>
      </c>
      <c r="V14" s="475"/>
      <c r="W14" s="475"/>
      <c r="X14" s="438" t="s">
        <v>300</v>
      </c>
      <c r="AA14" s="446" t="s">
        <v>327</v>
      </c>
      <c r="AB14" s="446" t="s">
        <v>327</v>
      </c>
      <c r="AC14" s="475"/>
      <c r="AD14" s="475"/>
      <c r="AE14" s="446" t="s">
        <v>327</v>
      </c>
      <c r="AF14" s="446" t="s">
        <v>327</v>
      </c>
      <c r="AG14" s="446" t="s">
        <v>327</v>
      </c>
      <c r="AJ14" s="475"/>
      <c r="AK14" s="475"/>
      <c r="AL14" s="472"/>
      <c r="AM14" s="472"/>
      <c r="AQ14" s="475"/>
      <c r="AR14" s="475"/>
      <c r="AX14" s="475"/>
      <c r="AY14" s="475"/>
      <c r="BE14" s="475"/>
      <c r="BF14" s="475"/>
      <c r="BL14" s="475"/>
      <c r="BM14" s="475"/>
      <c r="BS14" s="475"/>
      <c r="BT14" s="475"/>
    </row>
    <row r="15" spans="1:76" ht="15.75" thickBot="1">
      <c r="A15" s="477" t="s">
        <v>99</v>
      </c>
      <c r="B15" s="478" t="s">
        <v>214</v>
      </c>
      <c r="C15" s="478" t="s">
        <v>216</v>
      </c>
      <c r="D15" s="453" t="s">
        <v>20</v>
      </c>
      <c r="H15" s="475"/>
      <c r="I15" s="475"/>
      <c r="K15" s="407" t="s">
        <v>273</v>
      </c>
      <c r="L15" s="407" t="s">
        <v>273</v>
      </c>
      <c r="M15" s="407" t="s">
        <v>273</v>
      </c>
      <c r="N15" s="407" t="s">
        <v>273</v>
      </c>
      <c r="O15" s="475"/>
      <c r="P15" s="475"/>
      <c r="Q15" s="407" t="s">
        <v>273</v>
      </c>
      <c r="S15" s="437" t="s">
        <v>297</v>
      </c>
      <c r="T15" s="437" t="s">
        <v>297</v>
      </c>
      <c r="U15" s="437" t="s">
        <v>297</v>
      </c>
      <c r="V15" s="475"/>
      <c r="W15" s="475"/>
      <c r="X15" s="437" t="s">
        <v>297</v>
      </c>
      <c r="Y15" s="408" t="s">
        <v>321</v>
      </c>
      <c r="AA15" s="447" t="s">
        <v>330</v>
      </c>
      <c r="AB15" s="447" t="s">
        <v>330</v>
      </c>
      <c r="AC15" s="475"/>
      <c r="AD15" s="475"/>
      <c r="AE15" s="447" t="s">
        <v>330</v>
      </c>
      <c r="AF15" s="447" t="s">
        <v>330</v>
      </c>
      <c r="AG15" s="408" t="s">
        <v>276</v>
      </c>
      <c r="AH15" s="408" t="s">
        <v>276</v>
      </c>
      <c r="AI15" s="408" t="s">
        <v>276</v>
      </c>
      <c r="AJ15" s="475"/>
      <c r="AK15" s="475"/>
      <c r="AL15" s="472"/>
      <c r="AM15" s="472"/>
      <c r="AN15" s="408" t="s">
        <v>276</v>
      </c>
      <c r="AO15" s="408" t="s">
        <v>276</v>
      </c>
      <c r="AQ15" s="475"/>
      <c r="AR15" s="475"/>
      <c r="AX15" s="475"/>
      <c r="AY15" s="475"/>
      <c r="BE15" s="475"/>
      <c r="BF15" s="475"/>
      <c r="BL15" s="475"/>
      <c r="BM15" s="475"/>
      <c r="BS15" s="475"/>
      <c r="BT15" s="475"/>
    </row>
    <row r="16" spans="1:76" ht="15.75" thickBot="1">
      <c r="A16" s="477"/>
      <c r="B16" s="478"/>
      <c r="C16" s="478"/>
      <c r="D16" s="453" t="s">
        <v>12</v>
      </c>
      <c r="H16" s="475"/>
      <c r="I16" s="475"/>
      <c r="K16" s="407" t="s">
        <v>273</v>
      </c>
      <c r="L16" s="407" t="s">
        <v>273</v>
      </c>
      <c r="M16" s="407" t="s">
        <v>273</v>
      </c>
      <c r="N16" s="407" t="s">
        <v>273</v>
      </c>
      <c r="O16" s="475"/>
      <c r="P16" s="475"/>
      <c r="Q16" s="407" t="s">
        <v>273</v>
      </c>
      <c r="S16" s="437" t="s">
        <v>297</v>
      </c>
      <c r="T16" s="437" t="s">
        <v>297</v>
      </c>
      <c r="U16" s="437" t="s">
        <v>297</v>
      </c>
      <c r="V16" s="475"/>
      <c r="W16" s="475"/>
      <c r="X16" s="437" t="s">
        <v>297</v>
      </c>
      <c r="Y16" s="408" t="s">
        <v>321</v>
      </c>
      <c r="AA16" s="447" t="s">
        <v>330</v>
      </c>
      <c r="AB16" s="447" t="s">
        <v>330</v>
      </c>
      <c r="AC16" s="475"/>
      <c r="AD16" s="475"/>
      <c r="AE16" s="447" t="s">
        <v>330</v>
      </c>
      <c r="AF16" s="447" t="s">
        <v>330</v>
      </c>
      <c r="AG16" s="408" t="s">
        <v>276</v>
      </c>
      <c r="AH16" s="408" t="s">
        <v>276</v>
      </c>
      <c r="AI16" s="408" t="s">
        <v>276</v>
      </c>
      <c r="AJ16" s="475"/>
      <c r="AK16" s="475"/>
      <c r="AL16" s="472"/>
      <c r="AM16" s="472"/>
      <c r="AN16" s="408" t="s">
        <v>276</v>
      </c>
      <c r="AO16" s="408" t="s">
        <v>276</v>
      </c>
      <c r="AQ16" s="475"/>
      <c r="AR16" s="475"/>
      <c r="AX16" s="475"/>
      <c r="AY16" s="475"/>
      <c r="BE16" s="475"/>
      <c r="BF16" s="475"/>
      <c r="BL16" s="475"/>
      <c r="BM16" s="475"/>
      <c r="BS16" s="475"/>
      <c r="BT16" s="475"/>
    </row>
    <row r="17" spans="1:72" ht="15.75" thickBot="1">
      <c r="A17" s="477" t="s">
        <v>99</v>
      </c>
      <c r="B17" s="478" t="s">
        <v>214</v>
      </c>
      <c r="C17" s="478" t="s">
        <v>217</v>
      </c>
      <c r="D17" s="453" t="s">
        <v>20</v>
      </c>
      <c r="G17" s="404" t="s">
        <v>264</v>
      </c>
      <c r="H17" s="475"/>
      <c r="I17" s="475"/>
      <c r="J17" s="404" t="s">
        <v>264</v>
      </c>
      <c r="K17" s="404" t="s">
        <v>264</v>
      </c>
      <c r="L17" s="404" t="s">
        <v>264</v>
      </c>
      <c r="M17" s="433" t="s">
        <v>285</v>
      </c>
      <c r="N17" s="433" t="s">
        <v>285</v>
      </c>
      <c r="O17" s="475"/>
      <c r="P17" s="475"/>
      <c r="Q17" s="433" t="s">
        <v>285</v>
      </c>
      <c r="R17" s="433" t="s">
        <v>285</v>
      </c>
      <c r="S17" s="439" t="s">
        <v>303</v>
      </c>
      <c r="T17" s="439" t="s">
        <v>303</v>
      </c>
      <c r="U17" s="439" t="s">
        <v>303</v>
      </c>
      <c r="V17" s="475"/>
      <c r="W17" s="475"/>
      <c r="X17" s="439" t="s">
        <v>303</v>
      </c>
      <c r="AA17" s="445" t="s">
        <v>324</v>
      </c>
      <c r="AB17" s="445" t="s">
        <v>324</v>
      </c>
      <c r="AC17" s="475"/>
      <c r="AD17" s="475"/>
      <c r="AE17" s="445" t="s">
        <v>324</v>
      </c>
      <c r="AG17" s="452" t="s">
        <v>348</v>
      </c>
      <c r="AH17" s="452" t="s">
        <v>348</v>
      </c>
      <c r="AI17" s="452" t="s">
        <v>348</v>
      </c>
      <c r="AJ17" s="475"/>
      <c r="AK17" s="475"/>
      <c r="AL17" s="472"/>
      <c r="AM17" s="472"/>
      <c r="AN17" s="452" t="s">
        <v>348</v>
      </c>
      <c r="AQ17" s="475"/>
      <c r="AR17" s="475"/>
      <c r="AX17" s="475"/>
      <c r="AY17" s="475"/>
      <c r="BE17" s="475"/>
      <c r="BF17" s="475"/>
      <c r="BL17" s="475"/>
      <c r="BM17" s="475"/>
      <c r="BS17" s="475"/>
      <c r="BT17" s="475"/>
    </row>
    <row r="18" spans="1:72" ht="15.75" thickBot="1">
      <c r="A18" s="477"/>
      <c r="B18" s="478"/>
      <c r="C18" s="478"/>
      <c r="D18" s="453" t="s">
        <v>12</v>
      </c>
      <c r="G18" s="404" t="s">
        <v>264</v>
      </c>
      <c r="H18" s="475"/>
      <c r="I18" s="475"/>
      <c r="J18" s="404" t="s">
        <v>264</v>
      </c>
      <c r="K18" s="404" t="s">
        <v>264</v>
      </c>
      <c r="L18" s="404" t="s">
        <v>264</v>
      </c>
      <c r="M18" s="433" t="s">
        <v>285</v>
      </c>
      <c r="N18" s="433" t="s">
        <v>285</v>
      </c>
      <c r="O18" s="475"/>
      <c r="P18" s="475"/>
      <c r="Q18" s="433" t="s">
        <v>285</v>
      </c>
      <c r="R18" s="433" t="s">
        <v>285</v>
      </c>
      <c r="S18" s="439" t="s">
        <v>303</v>
      </c>
      <c r="T18" s="439" t="s">
        <v>303</v>
      </c>
      <c r="U18" s="439" t="s">
        <v>303</v>
      </c>
      <c r="V18" s="475"/>
      <c r="W18" s="475"/>
      <c r="X18" s="439" t="s">
        <v>303</v>
      </c>
      <c r="AA18" s="445" t="s">
        <v>324</v>
      </c>
      <c r="AB18" s="445" t="s">
        <v>324</v>
      </c>
      <c r="AC18" s="475"/>
      <c r="AD18" s="475"/>
      <c r="AG18" s="452" t="s">
        <v>348</v>
      </c>
      <c r="AH18" s="452" t="s">
        <v>348</v>
      </c>
      <c r="AI18" s="452" t="s">
        <v>348</v>
      </c>
      <c r="AJ18" s="475"/>
      <c r="AK18" s="475"/>
      <c r="AL18" s="472"/>
      <c r="AM18" s="472"/>
      <c r="AN18" s="452" t="s">
        <v>348</v>
      </c>
      <c r="AQ18" s="475"/>
      <c r="AR18" s="475"/>
      <c r="AX18" s="475"/>
      <c r="AY18" s="475"/>
      <c r="BE18" s="475"/>
      <c r="BF18" s="475"/>
      <c r="BL18" s="475"/>
      <c r="BM18" s="475"/>
      <c r="BS18" s="475"/>
      <c r="BT18" s="475"/>
    </row>
    <row r="19" spans="1:72" ht="15.75" thickBot="1">
      <c r="A19" s="477" t="s">
        <v>99</v>
      </c>
      <c r="B19" s="478" t="s">
        <v>214</v>
      </c>
      <c r="C19" s="478" t="s">
        <v>116</v>
      </c>
      <c r="D19" s="453" t="s">
        <v>20</v>
      </c>
      <c r="H19" s="475"/>
      <c r="I19" s="475"/>
      <c r="M19" s="431" t="s">
        <v>279</v>
      </c>
      <c r="N19" s="431" t="s">
        <v>279</v>
      </c>
      <c r="O19" s="475"/>
      <c r="P19" s="475"/>
      <c r="Q19" s="431" t="s">
        <v>279</v>
      </c>
      <c r="R19" s="431" t="s">
        <v>279</v>
      </c>
      <c r="U19" s="441" t="s">
        <v>309</v>
      </c>
      <c r="V19" s="475"/>
      <c r="W19" s="475"/>
      <c r="X19" s="441" t="s">
        <v>309</v>
      </c>
      <c r="Y19" s="441" t="s">
        <v>309</v>
      </c>
      <c r="Z19" s="441" t="s">
        <v>309</v>
      </c>
      <c r="AC19" s="475"/>
      <c r="AD19" s="475"/>
      <c r="AE19" s="449" t="s">
        <v>339</v>
      </c>
      <c r="AF19" s="449" t="s">
        <v>339</v>
      </c>
      <c r="AG19" s="449" t="s">
        <v>339</v>
      </c>
      <c r="AH19" s="449" t="s">
        <v>339</v>
      </c>
      <c r="AJ19" s="475"/>
      <c r="AK19" s="475"/>
      <c r="AL19" s="472"/>
      <c r="AM19" s="472"/>
      <c r="AQ19" s="475"/>
      <c r="AR19" s="475"/>
      <c r="AX19" s="475"/>
      <c r="AY19" s="475"/>
      <c r="BE19" s="475"/>
      <c r="BF19" s="475"/>
      <c r="BL19" s="475"/>
      <c r="BM19" s="475"/>
      <c r="BS19" s="475"/>
      <c r="BT19" s="475"/>
    </row>
    <row r="20" spans="1:72" ht="15.75" thickBot="1">
      <c r="A20" s="477"/>
      <c r="B20" s="478"/>
      <c r="C20" s="478"/>
      <c r="D20" s="453" t="s">
        <v>12</v>
      </c>
      <c r="H20" s="475"/>
      <c r="I20" s="475"/>
      <c r="M20" s="431" t="s">
        <v>279</v>
      </c>
      <c r="N20" s="431" t="s">
        <v>279</v>
      </c>
      <c r="O20" s="475"/>
      <c r="P20" s="475"/>
      <c r="Q20" s="431" t="s">
        <v>279</v>
      </c>
      <c r="R20" s="431" t="s">
        <v>279</v>
      </c>
      <c r="U20" s="441" t="s">
        <v>309</v>
      </c>
      <c r="V20" s="475"/>
      <c r="W20" s="475"/>
      <c r="X20" s="441" t="s">
        <v>309</v>
      </c>
      <c r="Y20" s="441" t="s">
        <v>309</v>
      </c>
      <c r="Z20" s="441" t="s">
        <v>309</v>
      </c>
      <c r="AC20" s="475"/>
      <c r="AD20" s="475"/>
      <c r="AE20" s="449" t="s">
        <v>339</v>
      </c>
      <c r="AF20" s="449" t="s">
        <v>339</v>
      </c>
      <c r="AG20" s="449" t="s">
        <v>339</v>
      </c>
      <c r="AH20" s="449" t="s">
        <v>339</v>
      </c>
      <c r="AJ20" s="475"/>
      <c r="AK20" s="475"/>
      <c r="AL20" s="472"/>
      <c r="AM20" s="472"/>
      <c r="AQ20" s="475"/>
      <c r="AR20" s="475"/>
      <c r="AX20" s="475"/>
      <c r="AY20" s="475"/>
      <c r="BE20" s="475"/>
      <c r="BF20" s="475"/>
      <c r="BL20" s="475"/>
      <c r="BM20" s="475"/>
      <c r="BS20" s="475"/>
      <c r="BT20" s="475"/>
    </row>
    <row r="21" spans="1:72" ht="15.75" thickBot="1">
      <c r="A21" s="477" t="s">
        <v>99</v>
      </c>
      <c r="B21" s="478" t="s">
        <v>214</v>
      </c>
      <c r="C21" s="478" t="s">
        <v>218</v>
      </c>
      <c r="D21" s="453" t="s">
        <v>20</v>
      </c>
      <c r="H21" s="475"/>
      <c r="I21" s="475"/>
      <c r="O21" s="475"/>
      <c r="P21" s="475"/>
      <c r="R21" s="436" t="s">
        <v>294</v>
      </c>
      <c r="S21" s="436" t="s">
        <v>294</v>
      </c>
      <c r="T21" s="436" t="s">
        <v>294</v>
      </c>
      <c r="U21" s="436" t="s">
        <v>294</v>
      </c>
      <c r="V21" s="475"/>
      <c r="W21" s="475"/>
      <c r="Y21" s="444" t="s">
        <v>318</v>
      </c>
      <c r="Z21" s="443" t="s">
        <v>315</v>
      </c>
      <c r="AC21" s="475"/>
      <c r="AD21" s="475"/>
      <c r="AE21" s="448" t="s">
        <v>336</v>
      </c>
      <c r="AF21" s="448" t="s">
        <v>336</v>
      </c>
      <c r="AG21" s="448" t="s">
        <v>336</v>
      </c>
      <c r="AH21" s="448" t="s">
        <v>336</v>
      </c>
      <c r="AJ21" s="475"/>
      <c r="AK21" s="475"/>
      <c r="AL21" s="472"/>
      <c r="AM21" s="472"/>
      <c r="AQ21" s="475"/>
      <c r="AR21" s="475"/>
      <c r="AX21" s="475"/>
      <c r="AY21" s="475"/>
      <c r="BE21" s="475"/>
      <c r="BF21" s="475"/>
      <c r="BL21" s="475"/>
      <c r="BM21" s="475"/>
      <c r="BS21" s="475"/>
      <c r="BT21" s="475"/>
    </row>
    <row r="22" spans="1:72" ht="15.75" thickBot="1">
      <c r="A22" s="477"/>
      <c r="B22" s="478"/>
      <c r="C22" s="478"/>
      <c r="D22" s="453" t="s">
        <v>12</v>
      </c>
      <c r="H22" s="475"/>
      <c r="I22" s="475"/>
      <c r="O22" s="475"/>
      <c r="P22" s="475"/>
      <c r="R22" s="436" t="s">
        <v>294</v>
      </c>
      <c r="S22" s="436" t="s">
        <v>294</v>
      </c>
      <c r="T22" s="436" t="s">
        <v>294</v>
      </c>
      <c r="U22" s="436" t="s">
        <v>294</v>
      </c>
      <c r="V22" s="475"/>
      <c r="W22" s="475"/>
      <c r="Y22" s="444" t="s">
        <v>318</v>
      </c>
      <c r="Z22" s="443" t="s">
        <v>315</v>
      </c>
      <c r="AC22" s="475"/>
      <c r="AD22" s="475"/>
      <c r="AE22" s="448" t="s">
        <v>336</v>
      </c>
      <c r="AF22" s="448" t="s">
        <v>336</v>
      </c>
      <c r="AG22" s="448" t="s">
        <v>336</v>
      </c>
      <c r="AH22" s="448" t="s">
        <v>336</v>
      </c>
      <c r="AJ22" s="475"/>
      <c r="AK22" s="475"/>
      <c r="AL22" s="472"/>
      <c r="AM22" s="472"/>
      <c r="AQ22" s="475"/>
      <c r="AR22" s="475"/>
      <c r="AX22" s="475"/>
      <c r="AY22" s="475"/>
      <c r="BE22" s="475"/>
      <c r="BF22" s="475"/>
      <c r="BL22" s="475"/>
      <c r="BM22" s="475"/>
      <c r="BS22" s="475"/>
      <c r="BT22" s="475"/>
    </row>
    <row r="23" spans="1:72" ht="15.75" thickBot="1">
      <c r="A23" s="477" t="s">
        <v>99</v>
      </c>
      <c r="B23" s="478" t="s">
        <v>214</v>
      </c>
      <c r="C23" s="478" t="s">
        <v>219</v>
      </c>
      <c r="D23" s="453" t="s">
        <v>20</v>
      </c>
      <c r="G23" s="405" t="s">
        <v>267</v>
      </c>
      <c r="H23" s="475"/>
      <c r="I23" s="475"/>
      <c r="J23" s="405" t="s">
        <v>267</v>
      </c>
      <c r="K23" s="405" t="s">
        <v>267</v>
      </c>
      <c r="L23" s="405" t="s">
        <v>267</v>
      </c>
      <c r="M23" s="405" t="s">
        <v>267</v>
      </c>
      <c r="O23" s="475"/>
      <c r="P23" s="475"/>
      <c r="Q23" s="434" t="s">
        <v>288</v>
      </c>
      <c r="R23" s="434" t="s">
        <v>288</v>
      </c>
      <c r="S23" s="434" t="s">
        <v>288</v>
      </c>
      <c r="T23" s="434" t="s">
        <v>288</v>
      </c>
      <c r="U23" s="442" t="s">
        <v>312</v>
      </c>
      <c r="V23" s="475"/>
      <c r="W23" s="475"/>
      <c r="X23" s="442" t="s">
        <v>312</v>
      </c>
      <c r="Y23" s="442" t="s">
        <v>312</v>
      </c>
      <c r="Z23" s="442" t="s">
        <v>312</v>
      </c>
      <c r="AC23" s="475"/>
      <c r="AD23" s="475"/>
      <c r="AG23" s="450" t="s">
        <v>342</v>
      </c>
      <c r="AH23" s="450" t="s">
        <v>342</v>
      </c>
      <c r="AI23" s="450" t="s">
        <v>342</v>
      </c>
      <c r="AJ23" s="475"/>
      <c r="AK23" s="475"/>
      <c r="AL23" s="472"/>
      <c r="AM23" s="472"/>
      <c r="AN23" s="450" t="s">
        <v>342</v>
      </c>
      <c r="AQ23" s="475"/>
      <c r="AR23" s="475"/>
      <c r="AX23" s="475"/>
      <c r="AY23" s="475"/>
      <c r="BE23" s="475"/>
      <c r="BF23" s="475"/>
      <c r="BL23" s="475"/>
      <c r="BM23" s="475"/>
      <c r="BS23" s="475"/>
      <c r="BT23" s="475"/>
    </row>
    <row r="24" spans="1:72" ht="15.75" thickBot="1">
      <c r="A24" s="477"/>
      <c r="B24" s="478"/>
      <c r="C24" s="478"/>
      <c r="D24" s="453" t="s">
        <v>12</v>
      </c>
      <c r="G24" s="405" t="s">
        <v>267</v>
      </c>
      <c r="H24" s="475"/>
      <c r="I24" s="475"/>
      <c r="J24" s="405" t="s">
        <v>267</v>
      </c>
      <c r="K24" s="405" t="s">
        <v>267</v>
      </c>
      <c r="L24" s="405" t="s">
        <v>267</v>
      </c>
      <c r="M24" s="405" t="s">
        <v>267</v>
      </c>
      <c r="O24" s="475"/>
      <c r="P24" s="475"/>
      <c r="Q24" s="434" t="s">
        <v>288</v>
      </c>
      <c r="R24" s="434" t="s">
        <v>288</v>
      </c>
      <c r="S24" s="434" t="s">
        <v>288</v>
      </c>
      <c r="T24" s="434" t="s">
        <v>288</v>
      </c>
      <c r="U24" s="442" t="s">
        <v>312</v>
      </c>
      <c r="V24" s="475"/>
      <c r="W24" s="475"/>
      <c r="X24" s="442" t="s">
        <v>312</v>
      </c>
      <c r="Y24" s="442" t="s">
        <v>312</v>
      </c>
      <c r="Z24" s="442" t="s">
        <v>312</v>
      </c>
      <c r="AC24" s="475"/>
      <c r="AD24" s="475"/>
      <c r="AG24" s="450" t="s">
        <v>342</v>
      </c>
      <c r="AH24" s="450" t="s">
        <v>342</v>
      </c>
      <c r="AI24" s="450" t="s">
        <v>342</v>
      </c>
      <c r="AJ24" s="475"/>
      <c r="AK24" s="475"/>
      <c r="AL24" s="472"/>
      <c r="AM24" s="472"/>
      <c r="AN24" s="450" t="s">
        <v>342</v>
      </c>
      <c r="AQ24" s="475"/>
      <c r="AR24" s="475"/>
      <c r="AX24" s="475"/>
      <c r="AY24" s="475"/>
      <c r="BE24" s="475"/>
      <c r="BF24" s="475"/>
      <c r="BL24" s="475"/>
      <c r="BM24" s="475"/>
      <c r="BS24" s="475"/>
      <c r="BT24" s="475"/>
    </row>
    <row r="25" spans="1:72" ht="15.75" thickBot="1">
      <c r="A25" s="477" t="s">
        <v>99</v>
      </c>
      <c r="B25" s="478" t="s">
        <v>214</v>
      </c>
      <c r="C25" s="478" t="s">
        <v>220</v>
      </c>
      <c r="D25" s="453" t="s">
        <v>20</v>
      </c>
      <c r="H25" s="475"/>
      <c r="I25" s="475"/>
      <c r="M25" s="432" t="s">
        <v>282</v>
      </c>
      <c r="N25" s="432" t="s">
        <v>282</v>
      </c>
      <c r="O25" s="475"/>
      <c r="P25" s="475"/>
      <c r="Q25" s="432" t="s">
        <v>282</v>
      </c>
      <c r="R25" s="432" t="s">
        <v>282</v>
      </c>
      <c r="U25" s="440" t="s">
        <v>306</v>
      </c>
      <c r="V25" s="475"/>
      <c r="W25" s="475"/>
      <c r="X25" s="440" t="s">
        <v>306</v>
      </c>
      <c r="Y25" s="440" t="s">
        <v>306</v>
      </c>
      <c r="Z25" s="440" t="s">
        <v>306</v>
      </c>
      <c r="AC25" s="475"/>
      <c r="AD25" s="475"/>
      <c r="AG25" s="451" t="s">
        <v>345</v>
      </c>
      <c r="AH25" s="451" t="s">
        <v>345</v>
      </c>
      <c r="AI25" s="451" t="s">
        <v>345</v>
      </c>
      <c r="AJ25" s="475"/>
      <c r="AK25" s="475"/>
      <c r="AL25" s="472"/>
      <c r="AM25" s="472"/>
      <c r="AN25" s="451" t="s">
        <v>345</v>
      </c>
      <c r="AQ25" s="475"/>
      <c r="AR25" s="475"/>
      <c r="AX25" s="475"/>
      <c r="AY25" s="475"/>
      <c r="BE25" s="475"/>
      <c r="BF25" s="475"/>
      <c r="BL25" s="475"/>
      <c r="BM25" s="475"/>
      <c r="BS25" s="475"/>
      <c r="BT25" s="475"/>
    </row>
    <row r="26" spans="1:72" ht="15.75" thickBot="1">
      <c r="A26" s="477"/>
      <c r="B26" s="478"/>
      <c r="C26" s="478"/>
      <c r="D26" s="453" t="s">
        <v>12</v>
      </c>
      <c r="H26" s="475"/>
      <c r="I26" s="475"/>
      <c r="M26" s="432" t="s">
        <v>282</v>
      </c>
      <c r="N26" s="432" t="s">
        <v>282</v>
      </c>
      <c r="O26" s="475"/>
      <c r="P26" s="475"/>
      <c r="Q26" s="432" t="s">
        <v>282</v>
      </c>
      <c r="R26" s="432" t="s">
        <v>282</v>
      </c>
      <c r="U26" s="440" t="s">
        <v>306</v>
      </c>
      <c r="V26" s="475"/>
      <c r="W26" s="475"/>
      <c r="X26" s="440" t="s">
        <v>306</v>
      </c>
      <c r="Y26" s="440" t="s">
        <v>306</v>
      </c>
      <c r="Z26" s="440" t="s">
        <v>306</v>
      </c>
      <c r="AC26" s="475"/>
      <c r="AD26" s="475"/>
      <c r="AG26" s="451" t="s">
        <v>345</v>
      </c>
      <c r="AH26" s="451" t="s">
        <v>345</v>
      </c>
      <c r="AI26" s="451" t="s">
        <v>345</v>
      </c>
      <c r="AJ26" s="475"/>
      <c r="AK26" s="475"/>
      <c r="AL26" s="472"/>
      <c r="AM26" s="472"/>
      <c r="AN26" s="451" t="s">
        <v>345</v>
      </c>
      <c r="AQ26" s="475"/>
      <c r="AR26" s="475"/>
      <c r="AX26" s="475"/>
      <c r="AY26" s="475"/>
      <c r="BE26" s="475"/>
      <c r="BF26" s="475"/>
      <c r="BL26" s="475"/>
      <c r="BM26" s="475"/>
      <c r="BS26" s="475"/>
      <c r="BT26" s="475"/>
    </row>
    <row r="27" spans="1:72" ht="15.75" thickBot="1">
      <c r="A27" s="477" t="s">
        <v>99</v>
      </c>
      <c r="B27" s="478" t="s">
        <v>214</v>
      </c>
      <c r="C27" s="478" t="s">
        <v>221</v>
      </c>
      <c r="D27" s="453" t="s">
        <v>20</v>
      </c>
      <c r="G27" s="403" t="s">
        <v>261</v>
      </c>
      <c r="H27" s="475"/>
      <c r="I27" s="475"/>
      <c r="J27" s="403" t="s">
        <v>261</v>
      </c>
      <c r="K27" s="403" t="s">
        <v>261</v>
      </c>
      <c r="L27" s="403" t="s">
        <v>261</v>
      </c>
      <c r="M27" s="403" t="s">
        <v>261</v>
      </c>
      <c r="O27" s="475"/>
      <c r="P27" s="475"/>
      <c r="Q27" s="435" t="s">
        <v>291</v>
      </c>
      <c r="R27" s="435" t="s">
        <v>291</v>
      </c>
      <c r="S27" s="435" t="s">
        <v>291</v>
      </c>
      <c r="T27" s="435" t="s">
        <v>291</v>
      </c>
      <c r="U27" s="435" t="s">
        <v>291</v>
      </c>
      <c r="V27" s="475"/>
      <c r="W27" s="475"/>
      <c r="AC27" s="475"/>
      <c r="AD27" s="475"/>
      <c r="AE27" s="406" t="s">
        <v>333</v>
      </c>
      <c r="AF27" s="406" t="s">
        <v>333</v>
      </c>
      <c r="AG27" s="406" t="s">
        <v>333</v>
      </c>
      <c r="AH27" s="406" t="s">
        <v>333</v>
      </c>
      <c r="AJ27" s="475"/>
      <c r="AK27" s="475"/>
      <c r="AL27" s="472"/>
      <c r="AM27" s="472"/>
      <c r="AQ27" s="475"/>
      <c r="AR27" s="475"/>
      <c r="AX27" s="475"/>
      <c r="AY27" s="475"/>
      <c r="BE27" s="475"/>
      <c r="BF27" s="475"/>
      <c r="BL27" s="475"/>
      <c r="BM27" s="475"/>
      <c r="BS27" s="475"/>
      <c r="BT27" s="475"/>
    </row>
    <row r="28" spans="1:72" ht="15.75" thickBot="1">
      <c r="A28" s="477"/>
      <c r="B28" s="478"/>
      <c r="C28" s="478"/>
      <c r="D28" s="453" t="s">
        <v>12</v>
      </c>
      <c r="G28" s="403" t="s">
        <v>261</v>
      </c>
      <c r="H28" s="476"/>
      <c r="I28" s="476"/>
      <c r="J28" s="403" t="s">
        <v>261</v>
      </c>
      <c r="K28" s="403" t="s">
        <v>261</v>
      </c>
      <c r="L28" s="403" t="s">
        <v>261</v>
      </c>
      <c r="M28" s="403" t="s">
        <v>261</v>
      </c>
      <c r="O28" s="476"/>
      <c r="P28" s="476"/>
      <c r="Q28" s="435" t="s">
        <v>291</v>
      </c>
      <c r="R28" s="435" t="s">
        <v>291</v>
      </c>
      <c r="S28" s="435" t="s">
        <v>291</v>
      </c>
      <c r="T28" s="435" t="s">
        <v>291</v>
      </c>
      <c r="U28" s="435" t="s">
        <v>291</v>
      </c>
      <c r="V28" s="476"/>
      <c r="W28" s="476"/>
      <c r="AC28" s="476"/>
      <c r="AD28" s="476"/>
      <c r="AE28" s="406" t="s">
        <v>333</v>
      </c>
      <c r="AF28" s="406" t="s">
        <v>333</v>
      </c>
      <c r="AG28" s="406" t="s">
        <v>333</v>
      </c>
      <c r="AH28" s="406" t="s">
        <v>333</v>
      </c>
      <c r="AJ28" s="476"/>
      <c r="AK28" s="476"/>
      <c r="AL28" s="473"/>
      <c r="AM28" s="473"/>
      <c r="AQ28" s="476"/>
      <c r="AR28" s="476"/>
      <c r="AX28" s="476"/>
      <c r="AY28" s="476"/>
      <c r="BE28" s="476"/>
      <c r="BF28" s="476"/>
      <c r="BL28" s="476"/>
      <c r="BM28" s="476"/>
      <c r="BS28" s="476"/>
      <c r="BT28" s="476"/>
    </row>
    <row r="36" spans="1:76" ht="15.75" thickBot="1"/>
    <row r="37" spans="1:76" ht="15.75" thickBot="1">
      <c r="A37" s="483" t="s">
        <v>89</v>
      </c>
      <c r="B37" s="483"/>
      <c r="C37" s="483"/>
      <c r="D37" s="483"/>
      <c r="E37" s="125">
        <v>0</v>
      </c>
      <c r="F37" s="125">
        <v>0</v>
      </c>
      <c r="G37" s="125">
        <v>0</v>
      </c>
      <c r="H37" s="125">
        <v>0</v>
      </c>
      <c r="I37" s="125">
        <v>0</v>
      </c>
      <c r="J37" s="125">
        <v>0</v>
      </c>
      <c r="K37" s="125">
        <v>0</v>
      </c>
      <c r="L37" s="125">
        <v>14</v>
      </c>
      <c r="M37" s="125">
        <v>46</v>
      </c>
      <c r="N37" s="125">
        <v>46</v>
      </c>
      <c r="O37" s="125">
        <v>46</v>
      </c>
      <c r="P37" s="125">
        <v>46</v>
      </c>
      <c r="Q37" s="125">
        <v>78</v>
      </c>
      <c r="R37" s="125">
        <v>120</v>
      </c>
      <c r="S37" s="125">
        <v>120</v>
      </c>
      <c r="T37" s="125">
        <v>134</v>
      </c>
      <c r="U37" s="125">
        <v>164</v>
      </c>
      <c r="V37" s="125">
        <v>164</v>
      </c>
      <c r="W37" s="125">
        <v>164</v>
      </c>
      <c r="X37" s="125">
        <v>206</v>
      </c>
      <c r="Y37" s="125">
        <v>222</v>
      </c>
      <c r="Z37" s="125">
        <v>272</v>
      </c>
      <c r="AA37" s="125">
        <v>272</v>
      </c>
      <c r="AB37" s="125">
        <v>272</v>
      </c>
      <c r="AC37" s="125">
        <v>272</v>
      </c>
      <c r="AD37" s="125">
        <v>272</v>
      </c>
      <c r="AE37" s="125">
        <v>283</v>
      </c>
      <c r="AF37" s="125">
        <v>297</v>
      </c>
      <c r="AG37" s="125">
        <v>313</v>
      </c>
      <c r="AH37" s="125">
        <v>355</v>
      </c>
      <c r="AI37" s="125">
        <v>355</v>
      </c>
      <c r="AJ37" s="125">
        <v>355</v>
      </c>
      <c r="AK37" s="125">
        <v>355</v>
      </c>
      <c r="AL37" s="125">
        <v>355</v>
      </c>
      <c r="AM37" s="125">
        <v>355</v>
      </c>
      <c r="AN37" s="125">
        <v>397</v>
      </c>
      <c r="AO37" s="125">
        <v>413</v>
      </c>
      <c r="AP37" s="125">
        <v>413</v>
      </c>
      <c r="AQ37" s="125">
        <v>413</v>
      </c>
      <c r="AR37" s="125">
        <v>413</v>
      </c>
      <c r="AS37" s="125">
        <v>413</v>
      </c>
      <c r="AT37" s="125">
        <v>413</v>
      </c>
      <c r="AU37" s="125">
        <v>413</v>
      </c>
      <c r="AV37" s="125">
        <v>413</v>
      </c>
      <c r="AW37" s="125">
        <v>413</v>
      </c>
      <c r="AX37" s="125">
        <v>413</v>
      </c>
      <c r="AY37" s="125">
        <v>413</v>
      </c>
      <c r="AZ37" s="125">
        <v>413</v>
      </c>
      <c r="BA37" s="125">
        <v>413</v>
      </c>
      <c r="BB37" s="125">
        <v>413</v>
      </c>
      <c r="BC37" s="125">
        <v>413</v>
      </c>
      <c r="BD37" s="125">
        <v>413</v>
      </c>
      <c r="BE37" s="125">
        <v>413</v>
      </c>
      <c r="BF37" s="125">
        <v>413</v>
      </c>
      <c r="BG37" s="125">
        <v>413</v>
      </c>
      <c r="BH37" s="125">
        <v>413</v>
      </c>
      <c r="BI37" s="125">
        <v>413</v>
      </c>
      <c r="BJ37" s="125">
        <v>413</v>
      </c>
      <c r="BK37" s="125">
        <v>413</v>
      </c>
      <c r="BL37" s="125">
        <v>413</v>
      </c>
      <c r="BM37" s="125">
        <v>413</v>
      </c>
      <c r="BN37" s="125">
        <v>413</v>
      </c>
      <c r="BO37" s="125">
        <v>413</v>
      </c>
      <c r="BP37" s="125">
        <v>413</v>
      </c>
      <c r="BQ37" s="125">
        <v>413</v>
      </c>
      <c r="BR37" s="125">
        <v>413</v>
      </c>
      <c r="BS37" s="125">
        <v>413</v>
      </c>
      <c r="BT37" s="125">
        <v>413</v>
      </c>
      <c r="BU37" s="125">
        <v>413</v>
      </c>
      <c r="BV37" s="125">
        <v>413</v>
      </c>
      <c r="BW37" s="125">
        <v>413</v>
      </c>
      <c r="BX37" s="125">
        <v>413</v>
      </c>
    </row>
    <row r="38" spans="1:76" ht="15.75" thickBot="1">
      <c r="A38" s="480" t="s">
        <v>88</v>
      </c>
      <c r="B38" s="480"/>
      <c r="C38" s="480"/>
      <c r="D38" s="480"/>
      <c r="E38" s="126">
        <v>0</v>
      </c>
      <c r="F38" s="126">
        <v>0</v>
      </c>
      <c r="G38" s="126">
        <v>0</v>
      </c>
      <c r="H38" s="126">
        <v>0</v>
      </c>
      <c r="I38" s="126">
        <v>0</v>
      </c>
      <c r="J38" s="126">
        <v>0</v>
      </c>
      <c r="K38" s="126">
        <v>0</v>
      </c>
      <c r="L38" s="126">
        <v>0</v>
      </c>
      <c r="M38" s="126">
        <v>0</v>
      </c>
      <c r="N38" s="126">
        <v>0</v>
      </c>
      <c r="O38" s="126">
        <v>0</v>
      </c>
      <c r="P38" s="126">
        <v>0</v>
      </c>
      <c r="Q38" s="126">
        <v>0</v>
      </c>
      <c r="R38" s="126">
        <v>0</v>
      </c>
      <c r="S38" s="126">
        <v>0</v>
      </c>
      <c r="T38" s="126">
        <v>0</v>
      </c>
      <c r="U38" s="126">
        <v>0</v>
      </c>
      <c r="V38" s="126">
        <v>0</v>
      </c>
      <c r="W38" s="126">
        <v>0</v>
      </c>
      <c r="X38" s="126">
        <v>0</v>
      </c>
      <c r="Y38" s="126">
        <v>0</v>
      </c>
      <c r="Z38" s="126">
        <v>0</v>
      </c>
      <c r="AA38" s="126">
        <v>0</v>
      </c>
      <c r="AB38" s="126">
        <v>0</v>
      </c>
      <c r="AC38" s="126">
        <v>0</v>
      </c>
      <c r="AD38" s="126">
        <v>0</v>
      </c>
      <c r="AE38" s="126">
        <v>0</v>
      </c>
      <c r="AF38" s="126">
        <v>0</v>
      </c>
      <c r="AG38" s="126">
        <v>0</v>
      </c>
      <c r="AH38" s="126">
        <v>0</v>
      </c>
      <c r="AI38" s="126">
        <v>0</v>
      </c>
      <c r="AJ38" s="126">
        <v>0</v>
      </c>
      <c r="AK38" s="126">
        <v>0</v>
      </c>
      <c r="AL38" s="126">
        <v>0</v>
      </c>
      <c r="AM38" s="126">
        <v>0</v>
      </c>
      <c r="AN38" s="126">
        <v>0</v>
      </c>
      <c r="AO38" s="126">
        <v>0</v>
      </c>
      <c r="AP38" s="126">
        <v>0</v>
      </c>
      <c r="AQ38" s="126">
        <v>0</v>
      </c>
      <c r="AR38" s="126">
        <v>0</v>
      </c>
      <c r="AS38" s="126">
        <v>0</v>
      </c>
      <c r="AT38" s="126">
        <v>0</v>
      </c>
      <c r="AU38" s="126">
        <v>0</v>
      </c>
      <c r="AV38" s="126">
        <v>0</v>
      </c>
      <c r="AW38" s="126">
        <v>0</v>
      </c>
      <c r="AX38" s="126">
        <v>0</v>
      </c>
      <c r="AY38" s="126">
        <v>0</v>
      </c>
      <c r="AZ38" s="126">
        <v>0</v>
      </c>
      <c r="BA38" s="126">
        <v>0</v>
      </c>
      <c r="BB38" s="126">
        <v>0</v>
      </c>
      <c r="BC38" s="126">
        <v>0</v>
      </c>
      <c r="BD38" s="126">
        <v>0</v>
      </c>
      <c r="BE38" s="126">
        <v>0</v>
      </c>
      <c r="BF38" s="126">
        <v>0</v>
      </c>
      <c r="BG38" s="126">
        <v>0</v>
      </c>
      <c r="BH38" s="126">
        <v>0</v>
      </c>
      <c r="BI38" s="126">
        <v>0</v>
      </c>
      <c r="BJ38" s="126">
        <v>0</v>
      </c>
      <c r="BK38" s="126">
        <v>0</v>
      </c>
      <c r="BL38" s="126">
        <v>0</v>
      </c>
      <c r="BM38" s="126">
        <v>0</v>
      </c>
      <c r="BN38" s="126">
        <v>0</v>
      </c>
      <c r="BO38" s="126">
        <v>0</v>
      </c>
      <c r="BP38" s="126">
        <v>0</v>
      </c>
      <c r="BQ38" s="126">
        <v>0</v>
      </c>
      <c r="BR38" s="126">
        <v>0</v>
      </c>
      <c r="BS38" s="126">
        <v>0</v>
      </c>
      <c r="BT38" s="126">
        <v>0</v>
      </c>
      <c r="BU38" s="126">
        <v>0</v>
      </c>
      <c r="BV38" s="126">
        <v>0</v>
      </c>
      <c r="BW38" s="126">
        <v>0</v>
      </c>
      <c r="BX38" s="126">
        <v>0</v>
      </c>
    </row>
    <row r="39" spans="1:76" ht="15.75" thickBot="1">
      <c r="A39" s="481" t="s">
        <v>75</v>
      </c>
      <c r="B39" s="481"/>
      <c r="C39" s="481"/>
      <c r="D39" s="481"/>
      <c r="E39" s="127">
        <v>0</v>
      </c>
      <c r="F39" s="127">
        <v>0</v>
      </c>
      <c r="G39" s="127">
        <v>0</v>
      </c>
      <c r="H39" s="127">
        <v>0</v>
      </c>
      <c r="I39" s="127">
        <v>0</v>
      </c>
      <c r="J39" s="127">
        <v>0</v>
      </c>
      <c r="K39" s="127">
        <v>0</v>
      </c>
      <c r="L39" s="127">
        <v>14</v>
      </c>
      <c r="M39" s="127">
        <v>46</v>
      </c>
      <c r="N39" s="127">
        <v>46</v>
      </c>
      <c r="O39" s="127">
        <v>46</v>
      </c>
      <c r="P39" s="127">
        <v>46</v>
      </c>
      <c r="Q39" s="127">
        <v>78</v>
      </c>
      <c r="R39" s="127">
        <v>120</v>
      </c>
      <c r="S39" s="127">
        <v>120</v>
      </c>
      <c r="T39" s="127">
        <v>134</v>
      </c>
      <c r="U39" s="127">
        <v>164</v>
      </c>
      <c r="V39" s="127">
        <v>164</v>
      </c>
      <c r="W39" s="127">
        <v>164</v>
      </c>
      <c r="X39" s="127">
        <v>206</v>
      </c>
      <c r="Y39" s="127">
        <v>222</v>
      </c>
      <c r="Z39" s="127">
        <v>272</v>
      </c>
      <c r="AA39" s="127">
        <v>272</v>
      </c>
      <c r="AB39" s="127">
        <v>272</v>
      </c>
      <c r="AC39" s="127">
        <v>272</v>
      </c>
      <c r="AD39" s="127">
        <v>272</v>
      </c>
      <c r="AE39" s="127">
        <v>283</v>
      </c>
      <c r="AF39" s="127">
        <v>297</v>
      </c>
      <c r="AG39" s="127">
        <v>313</v>
      </c>
      <c r="AH39" s="127">
        <v>355</v>
      </c>
      <c r="AI39" s="127">
        <v>355</v>
      </c>
      <c r="AJ39" s="127">
        <v>355</v>
      </c>
      <c r="AK39" s="127">
        <v>355</v>
      </c>
      <c r="AL39" s="127">
        <v>355</v>
      </c>
      <c r="AM39" s="127">
        <v>355</v>
      </c>
      <c r="AN39" s="127">
        <v>397</v>
      </c>
      <c r="AO39" s="127">
        <v>413</v>
      </c>
      <c r="AP39" s="127">
        <v>413</v>
      </c>
      <c r="AQ39" s="127">
        <v>413</v>
      </c>
      <c r="AR39" s="127">
        <v>413</v>
      </c>
      <c r="AS39" s="127">
        <v>413</v>
      </c>
      <c r="AT39" s="127">
        <v>413</v>
      </c>
      <c r="AU39" s="127">
        <v>413</v>
      </c>
      <c r="AV39" s="127">
        <v>413</v>
      </c>
      <c r="AW39" s="127">
        <v>413</v>
      </c>
      <c r="AX39" s="127">
        <v>413</v>
      </c>
      <c r="AY39" s="127">
        <v>413</v>
      </c>
      <c r="AZ39" s="127">
        <v>413</v>
      </c>
      <c r="BA39" s="127">
        <v>413</v>
      </c>
      <c r="BB39" s="127">
        <v>413</v>
      </c>
      <c r="BC39" s="127">
        <v>413</v>
      </c>
      <c r="BD39" s="127">
        <v>413</v>
      </c>
      <c r="BE39" s="127">
        <v>413</v>
      </c>
      <c r="BF39" s="127">
        <v>413</v>
      </c>
      <c r="BG39" s="127">
        <v>413</v>
      </c>
      <c r="BH39" s="127">
        <v>413</v>
      </c>
      <c r="BI39" s="127">
        <v>413</v>
      </c>
      <c r="BJ39" s="127">
        <v>413</v>
      </c>
      <c r="BK39" s="127">
        <v>413</v>
      </c>
      <c r="BL39" s="127">
        <v>413</v>
      </c>
      <c r="BM39" s="127">
        <v>413</v>
      </c>
      <c r="BN39" s="127">
        <v>413</v>
      </c>
      <c r="BO39" s="127">
        <v>413</v>
      </c>
      <c r="BP39" s="127">
        <v>413</v>
      </c>
      <c r="BQ39" s="127">
        <v>413</v>
      </c>
      <c r="BR39" s="127">
        <v>413</v>
      </c>
      <c r="BS39" s="127">
        <v>413</v>
      </c>
      <c r="BT39" s="127">
        <v>413</v>
      </c>
      <c r="BU39" s="127">
        <v>413</v>
      </c>
      <c r="BV39" s="127">
        <v>413</v>
      </c>
      <c r="BW39" s="127">
        <v>413</v>
      </c>
      <c r="BX39" s="127">
        <v>413</v>
      </c>
    </row>
    <row r="40" spans="1:76" ht="15.75" thickBot="1">
      <c r="A40" s="482" t="s">
        <v>73</v>
      </c>
      <c r="B40" s="482"/>
      <c r="C40" s="482"/>
      <c r="D40" s="482"/>
      <c r="E40" s="89">
        <v>0</v>
      </c>
      <c r="F40" s="89">
        <v>0</v>
      </c>
      <c r="G40" s="89">
        <v>0</v>
      </c>
      <c r="H40" s="89">
        <v>0</v>
      </c>
      <c r="I40" s="89">
        <v>0</v>
      </c>
      <c r="J40" s="89">
        <v>0</v>
      </c>
      <c r="K40" s="89">
        <v>0</v>
      </c>
      <c r="L40" s="89">
        <v>0</v>
      </c>
      <c r="M40" s="89">
        <v>0</v>
      </c>
      <c r="N40" s="89">
        <v>0</v>
      </c>
      <c r="O40" s="89">
        <v>0</v>
      </c>
      <c r="P40" s="89">
        <v>0</v>
      </c>
      <c r="Q40" s="89">
        <v>0</v>
      </c>
      <c r="R40" s="89">
        <v>0</v>
      </c>
      <c r="S40" s="89">
        <v>0</v>
      </c>
      <c r="T40" s="89">
        <v>0</v>
      </c>
      <c r="U40" s="89">
        <v>0</v>
      </c>
      <c r="V40" s="89">
        <v>0</v>
      </c>
      <c r="W40" s="89">
        <v>0</v>
      </c>
      <c r="X40" s="89">
        <v>0</v>
      </c>
      <c r="Y40" s="89">
        <v>0</v>
      </c>
      <c r="Z40" s="89">
        <v>0</v>
      </c>
      <c r="AA40" s="89">
        <v>0</v>
      </c>
      <c r="AB40" s="89">
        <v>0</v>
      </c>
      <c r="AC40" s="89">
        <v>0</v>
      </c>
      <c r="AD40" s="89">
        <v>0</v>
      </c>
      <c r="AE40" s="89">
        <v>0</v>
      </c>
      <c r="AF40" s="89">
        <v>0</v>
      </c>
      <c r="AG40" s="89">
        <v>0</v>
      </c>
      <c r="AH40" s="89">
        <v>0</v>
      </c>
      <c r="AI40" s="89">
        <v>0</v>
      </c>
      <c r="AJ40" s="89">
        <v>0</v>
      </c>
      <c r="AK40" s="89">
        <v>0</v>
      </c>
      <c r="AL40" s="89">
        <v>0</v>
      </c>
      <c r="AM40" s="89">
        <v>0</v>
      </c>
      <c r="AN40" s="89">
        <v>0</v>
      </c>
      <c r="AO40" s="89">
        <v>0</v>
      </c>
      <c r="AP40" s="89">
        <v>0</v>
      </c>
      <c r="AQ40" s="89">
        <v>0</v>
      </c>
      <c r="AR40" s="89">
        <v>0</v>
      </c>
      <c r="AS40" s="89">
        <v>0</v>
      </c>
      <c r="AT40" s="89">
        <v>0</v>
      </c>
      <c r="AU40" s="89">
        <v>0</v>
      </c>
      <c r="AV40" s="89">
        <v>0</v>
      </c>
      <c r="AW40" s="89">
        <v>0</v>
      </c>
      <c r="AX40" s="89">
        <v>0</v>
      </c>
      <c r="AY40" s="89">
        <v>0</v>
      </c>
      <c r="AZ40" s="89">
        <v>0</v>
      </c>
      <c r="BA40" s="89">
        <v>0</v>
      </c>
      <c r="BB40" s="89">
        <v>0</v>
      </c>
      <c r="BC40" s="89">
        <v>0</v>
      </c>
      <c r="BD40" s="89">
        <v>0</v>
      </c>
      <c r="BE40" s="89">
        <v>0</v>
      </c>
      <c r="BF40" s="89">
        <v>0</v>
      </c>
      <c r="BG40" s="89">
        <v>0</v>
      </c>
      <c r="BH40" s="89">
        <v>0</v>
      </c>
      <c r="BI40" s="89">
        <v>0</v>
      </c>
      <c r="BJ40" s="89">
        <v>0</v>
      </c>
      <c r="BK40" s="89">
        <v>0</v>
      </c>
      <c r="BL40" s="89">
        <v>0</v>
      </c>
      <c r="BM40" s="89">
        <v>0</v>
      </c>
      <c r="BN40" s="89">
        <v>0</v>
      </c>
      <c r="BO40" s="89">
        <v>0</v>
      </c>
      <c r="BP40" s="89">
        <v>0</v>
      </c>
      <c r="BQ40" s="89">
        <v>0</v>
      </c>
      <c r="BR40" s="89">
        <v>0</v>
      </c>
      <c r="BS40" s="89">
        <v>0</v>
      </c>
      <c r="BT40" s="89">
        <v>0</v>
      </c>
      <c r="BU40" s="89">
        <v>0</v>
      </c>
      <c r="BV40" s="89">
        <v>0</v>
      </c>
      <c r="BW40" s="89">
        <v>0</v>
      </c>
      <c r="BX40" s="89">
        <v>0</v>
      </c>
    </row>
    <row r="41" spans="1:76" ht="15.75" thickBot="1">
      <c r="A41" s="479" t="s">
        <v>90</v>
      </c>
      <c r="B41" s="479"/>
      <c r="C41" s="479"/>
      <c r="D41" s="479"/>
      <c r="E41" s="128">
        <v>413</v>
      </c>
      <c r="F41" s="128">
        <v>413</v>
      </c>
      <c r="G41" s="128">
        <v>413</v>
      </c>
      <c r="H41" s="128">
        <v>413</v>
      </c>
      <c r="I41" s="128">
        <v>413</v>
      </c>
      <c r="J41" s="128">
        <v>413</v>
      </c>
      <c r="K41" s="128">
        <v>413</v>
      </c>
      <c r="L41" s="128">
        <v>413</v>
      </c>
      <c r="M41" s="128">
        <v>413</v>
      </c>
      <c r="N41" s="128">
        <v>413</v>
      </c>
      <c r="O41" s="128">
        <v>413</v>
      </c>
      <c r="P41" s="128">
        <v>413</v>
      </c>
      <c r="Q41" s="128">
        <v>413</v>
      </c>
      <c r="R41" s="128">
        <v>413</v>
      </c>
      <c r="S41" s="128">
        <v>413</v>
      </c>
      <c r="T41" s="128">
        <v>413</v>
      </c>
      <c r="U41" s="128">
        <v>413</v>
      </c>
      <c r="V41" s="128">
        <v>413</v>
      </c>
      <c r="W41" s="128">
        <v>413</v>
      </c>
      <c r="X41" s="128">
        <v>413</v>
      </c>
      <c r="Y41" s="128">
        <v>413</v>
      </c>
      <c r="Z41" s="128">
        <v>413</v>
      </c>
      <c r="AA41" s="128">
        <v>413</v>
      </c>
      <c r="AB41" s="128">
        <v>413</v>
      </c>
      <c r="AC41" s="128">
        <v>413</v>
      </c>
      <c r="AD41" s="128">
        <v>413</v>
      </c>
      <c r="AE41" s="128">
        <v>413</v>
      </c>
      <c r="AF41" s="128">
        <v>413</v>
      </c>
      <c r="AG41" s="128">
        <v>413</v>
      </c>
      <c r="AH41" s="128">
        <v>413</v>
      </c>
      <c r="AI41" s="128">
        <v>413</v>
      </c>
      <c r="AJ41" s="128">
        <v>413</v>
      </c>
      <c r="AK41" s="128">
        <v>413</v>
      </c>
      <c r="AL41" s="128">
        <v>413</v>
      </c>
      <c r="AM41" s="128">
        <v>413</v>
      </c>
      <c r="AN41" s="128">
        <v>413</v>
      </c>
      <c r="AO41" s="128">
        <v>413</v>
      </c>
      <c r="AP41" s="128">
        <v>413</v>
      </c>
      <c r="AQ41" s="128">
        <v>413</v>
      </c>
      <c r="AR41" s="128">
        <v>413</v>
      </c>
      <c r="AS41" s="128">
        <v>413</v>
      </c>
      <c r="AT41" s="128">
        <v>413</v>
      </c>
      <c r="AU41" s="128">
        <v>413</v>
      </c>
      <c r="AV41" s="128">
        <v>413</v>
      </c>
      <c r="AW41" s="128">
        <v>413</v>
      </c>
      <c r="AX41" s="128">
        <v>413</v>
      </c>
      <c r="AY41" s="128">
        <v>413</v>
      </c>
      <c r="AZ41" s="128">
        <v>413</v>
      </c>
      <c r="BA41" s="128">
        <v>413</v>
      </c>
      <c r="BB41" s="128">
        <v>413</v>
      </c>
      <c r="BC41" s="128">
        <v>413</v>
      </c>
      <c r="BD41" s="128">
        <v>413</v>
      </c>
      <c r="BE41" s="128">
        <v>413</v>
      </c>
      <c r="BF41" s="128">
        <v>413</v>
      </c>
      <c r="BG41" s="128">
        <v>413</v>
      </c>
      <c r="BH41" s="128">
        <v>413</v>
      </c>
      <c r="BI41" s="128">
        <v>413</v>
      </c>
      <c r="BJ41" s="128">
        <v>413</v>
      </c>
      <c r="BK41" s="128">
        <v>413</v>
      </c>
      <c r="BL41" s="128">
        <v>413</v>
      </c>
      <c r="BM41" s="128">
        <v>413</v>
      </c>
      <c r="BN41" s="128">
        <v>413</v>
      </c>
      <c r="BO41" s="128">
        <v>413</v>
      </c>
      <c r="BP41" s="128">
        <v>413</v>
      </c>
      <c r="BQ41" s="128">
        <v>413</v>
      </c>
      <c r="BR41" s="128">
        <v>413</v>
      </c>
      <c r="BS41" s="128">
        <v>413</v>
      </c>
      <c r="BT41" s="128">
        <v>413</v>
      </c>
      <c r="BU41" s="128">
        <v>413</v>
      </c>
      <c r="BV41" s="128">
        <v>413</v>
      </c>
      <c r="BW41" s="128">
        <v>413</v>
      </c>
      <c r="BX41" s="128">
        <v>413</v>
      </c>
    </row>
  </sheetData>
  <mergeCells count="68">
    <mergeCell ref="AK5:AK28"/>
    <mergeCell ref="A15:A16"/>
    <mergeCell ref="B15:B16"/>
    <mergeCell ref="C15:C16"/>
    <mergeCell ref="A9:A10"/>
    <mergeCell ref="V5:V28"/>
    <mergeCell ref="W5:W28"/>
    <mergeCell ref="AC5:AC28"/>
    <mergeCell ref="AD5:AD28"/>
    <mergeCell ref="AJ5:AJ28"/>
    <mergeCell ref="A23:A24"/>
    <mergeCell ref="B23:B24"/>
    <mergeCell ref="C23:C24"/>
    <mergeCell ref="A19:A20"/>
    <mergeCell ref="B19:B20"/>
    <mergeCell ref="C19:C20"/>
    <mergeCell ref="D2:D4"/>
    <mergeCell ref="B5:B6"/>
    <mergeCell ref="B2:B4"/>
    <mergeCell ref="C2:C4"/>
    <mergeCell ref="A13:A14"/>
    <mergeCell ref="B13:B14"/>
    <mergeCell ref="C13:C14"/>
    <mergeCell ref="A11:A12"/>
    <mergeCell ref="C11:C12"/>
    <mergeCell ref="C7:C8"/>
    <mergeCell ref="A2:A4"/>
    <mergeCell ref="C5:C6"/>
    <mergeCell ref="A5:A6"/>
    <mergeCell ref="B7:B8"/>
    <mergeCell ref="A21:A22"/>
    <mergeCell ref="B21:B22"/>
    <mergeCell ref="C21:C22"/>
    <mergeCell ref="B9:B10"/>
    <mergeCell ref="C9:C10"/>
    <mergeCell ref="B11:B12"/>
    <mergeCell ref="BS5:BS28"/>
    <mergeCell ref="A25:A26"/>
    <mergeCell ref="B25:B26"/>
    <mergeCell ref="A41:D41"/>
    <mergeCell ref="A38:D38"/>
    <mergeCell ref="A39:D39"/>
    <mergeCell ref="A40:D40"/>
    <mergeCell ref="A37:D37"/>
    <mergeCell ref="A27:A28"/>
    <mergeCell ref="B27:B28"/>
    <mergeCell ref="C27:C28"/>
    <mergeCell ref="C25:C26"/>
    <mergeCell ref="A7:A8"/>
    <mergeCell ref="A17:A18"/>
    <mergeCell ref="B17:B18"/>
    <mergeCell ref="C17:C18"/>
    <mergeCell ref="E2:BX2"/>
    <mergeCell ref="AL5:AL28"/>
    <mergeCell ref="AM5:AM28"/>
    <mergeCell ref="BT5:BT28"/>
    <mergeCell ref="H5:H28"/>
    <mergeCell ref="I5:I28"/>
    <mergeCell ref="O5:O28"/>
    <mergeCell ref="P5:P28"/>
    <mergeCell ref="AQ5:AQ28"/>
    <mergeCell ref="AR5:AR28"/>
    <mergeCell ref="AX5:AX28"/>
    <mergeCell ref="AY5:AY28"/>
    <mergeCell ref="BE5:BE28"/>
    <mergeCell ref="BF5:BF28"/>
    <mergeCell ref="BL5:BL28"/>
    <mergeCell ref="BM5:BM28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9" r:id="rId4" name="Button 3">
              <controlPr defaultSize="0" print="0" autoFill="0" autoPict="0" macro="[0]!setPopulatePlanning">
                <anchor>
                  <from>
                    <xdr:col>1</xdr:col>
                    <xdr:colOff>485775</xdr:colOff>
                    <xdr:row>0</xdr:row>
                    <xdr:rowOff>104775</xdr:rowOff>
                  </from>
                  <to>
                    <xdr:col>3</xdr:col>
                    <xdr:colOff>638175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5" name="Button 11">
              <controlPr defaultSize="0" print="0" autoFill="0" autoPict="0" macro="[0]!SynchronizePlanningVsDates">
                <anchor>
                  <from>
                    <xdr:col>1</xdr:col>
                    <xdr:colOff>457200</xdr:colOff>
                    <xdr:row>0</xdr:row>
                    <xdr:rowOff>361950</xdr:rowOff>
                  </from>
                  <to>
                    <xdr:col>3</xdr:col>
                    <xdr:colOff>600075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Kanban"/>
  <dimension ref="A1:Y635"/>
  <sheetViews>
    <sheetView showGridLines="0" showRowColHeaders="0" zoomScaleNormal="100" workbookViewId="0">
      <selection sqref="A1:Q1"/>
    </sheetView>
  </sheetViews>
  <sheetFormatPr defaultRowHeight="15"/>
  <cols>
    <col min="2" max="2" width="11.5703125" bestFit="1" customWidth="1"/>
    <col min="3" max="3" width="11.7109375" customWidth="1"/>
    <col min="4" max="4" width="11.42578125" bestFit="1" customWidth="1"/>
    <col min="8" max="9" width="11.5703125" bestFit="1" customWidth="1"/>
    <col min="10" max="10" width="14.42578125" customWidth="1"/>
    <col min="14" max="14" width="11.5703125" bestFit="1" customWidth="1"/>
    <col min="15" max="15" width="16.5703125" bestFit="1" customWidth="1"/>
  </cols>
  <sheetData>
    <row r="1" spans="1:25" ht="38.25" customHeight="1" thickBot="1">
      <c r="A1" s="568" t="s">
        <v>59</v>
      </c>
      <c r="B1" s="568"/>
      <c r="C1" s="568"/>
      <c r="D1" s="568"/>
      <c r="E1" s="568"/>
      <c r="F1" s="568"/>
      <c r="G1" s="568"/>
      <c r="H1" s="568"/>
      <c r="I1" s="568"/>
      <c r="J1" s="568"/>
      <c r="K1" s="568"/>
      <c r="L1" s="568"/>
      <c r="M1" s="568"/>
      <c r="N1" s="568"/>
      <c r="O1" s="568"/>
      <c r="P1" s="568"/>
      <c r="Q1" s="568"/>
    </row>
    <row r="2" spans="1:25" ht="27.75" thickTop="1" thickBot="1">
      <c r="A2" s="569" t="s">
        <v>53</v>
      </c>
      <c r="B2" s="570"/>
      <c r="C2" s="570"/>
      <c r="D2" s="570"/>
      <c r="E2" s="571"/>
      <c r="F2" s="49"/>
      <c r="G2" s="572" t="s">
        <v>51</v>
      </c>
      <c r="H2" s="573"/>
      <c r="I2" s="573"/>
      <c r="J2" s="573"/>
      <c r="K2" s="574"/>
      <c r="L2" s="49"/>
      <c r="M2" s="575" t="s">
        <v>52</v>
      </c>
      <c r="N2" s="576"/>
      <c r="O2" s="576"/>
      <c r="P2" s="576"/>
      <c r="Q2" s="577"/>
      <c r="R2" s="49"/>
      <c r="S2" s="49"/>
      <c r="T2" s="49"/>
      <c r="U2" s="49"/>
      <c r="V2" s="49"/>
      <c r="W2" s="49"/>
      <c r="X2" s="49"/>
      <c r="Y2" s="49"/>
    </row>
    <row r="3" spans="1:25" ht="15.75" customHeight="1" thickTop="1" thickBot="1">
      <c r="A3" s="594" t="s">
        <v>350</v>
      </c>
      <c r="B3" s="595"/>
      <c r="C3" s="595"/>
      <c r="D3" s="595"/>
      <c r="E3" s="596"/>
      <c r="F3" s="49"/>
      <c r="G3" s="597" t="s">
        <v>351</v>
      </c>
      <c r="H3" s="598"/>
      <c r="I3" s="598"/>
      <c r="J3" s="598"/>
      <c r="K3" s="599"/>
      <c r="L3" s="49"/>
      <c r="M3" s="489" t="s">
        <v>119</v>
      </c>
      <c r="N3" s="490"/>
      <c r="O3" s="490"/>
      <c r="P3" s="490"/>
      <c r="Q3" s="491"/>
      <c r="R3" s="49"/>
      <c r="S3" s="49"/>
      <c r="T3" s="49"/>
      <c r="U3" s="49"/>
      <c r="V3" s="49"/>
      <c r="W3" s="49"/>
      <c r="X3" s="49"/>
      <c r="Y3" s="49"/>
    </row>
    <row r="4" spans="1:25" ht="15.75" customHeight="1" thickTop="1">
      <c r="A4" s="50"/>
      <c r="B4" s="177"/>
      <c r="C4" s="177"/>
      <c r="D4" s="177"/>
      <c r="E4" s="53"/>
      <c r="F4" s="49"/>
      <c r="G4" s="55"/>
      <c r="H4" s="178"/>
      <c r="I4" s="178"/>
      <c r="J4" s="178"/>
      <c r="K4" s="56"/>
      <c r="L4" s="49"/>
      <c r="M4" s="60"/>
      <c r="N4" s="179"/>
      <c r="O4" s="179"/>
      <c r="P4" s="179"/>
      <c r="Q4" s="61"/>
      <c r="R4" s="49"/>
      <c r="S4" s="49"/>
      <c r="T4" s="49"/>
      <c r="U4" s="49"/>
      <c r="V4" s="49"/>
      <c r="W4" s="49"/>
      <c r="X4" s="49"/>
      <c r="Y4" s="49"/>
    </row>
    <row r="5" spans="1:25" ht="15.75" customHeight="1" thickBot="1">
      <c r="A5" s="50"/>
      <c r="B5" s="177"/>
      <c r="C5" s="177"/>
      <c r="D5" s="177"/>
      <c r="E5" s="53"/>
      <c r="F5" s="49"/>
      <c r="G5" s="55"/>
      <c r="H5" s="178"/>
      <c r="I5" s="178"/>
      <c r="J5" s="178"/>
      <c r="K5" s="56"/>
      <c r="L5" s="49"/>
      <c r="M5" s="60"/>
      <c r="N5" s="179"/>
      <c r="O5" s="179"/>
      <c r="P5" s="179"/>
      <c r="Q5" s="61"/>
      <c r="R5" s="49"/>
      <c r="S5" s="49"/>
      <c r="T5" s="49"/>
      <c r="U5" s="49"/>
      <c r="V5" s="49"/>
      <c r="W5" s="49"/>
      <c r="X5" s="49"/>
      <c r="Y5" s="49"/>
    </row>
    <row r="6" spans="1:25" ht="15.75" customHeight="1" thickTop="1">
      <c r="A6" s="50"/>
      <c r="B6" s="533" t="s">
        <v>162</v>
      </c>
      <c r="C6" s="534"/>
      <c r="D6" s="535"/>
      <c r="E6" s="53"/>
      <c r="F6" s="49"/>
      <c r="G6" s="55"/>
      <c r="H6" s="556" t="s">
        <v>139</v>
      </c>
      <c r="I6" s="557"/>
      <c r="J6" s="512"/>
      <c r="K6" s="56"/>
      <c r="L6" s="49"/>
      <c r="M6" s="60"/>
      <c r="N6" s="179"/>
      <c r="O6" s="179"/>
      <c r="P6" s="179"/>
      <c r="Q6" s="61"/>
      <c r="R6" s="49"/>
      <c r="S6" s="49"/>
      <c r="T6" s="49"/>
      <c r="U6" s="49"/>
      <c r="V6" s="49"/>
      <c r="W6" s="49"/>
      <c r="X6" s="49"/>
      <c r="Y6" s="49"/>
    </row>
    <row r="7" spans="1:25" ht="15.75" customHeight="1">
      <c r="A7" s="50"/>
      <c r="B7" s="188" t="s">
        <v>106</v>
      </c>
      <c r="C7" s="180" t="s">
        <v>27</v>
      </c>
      <c r="D7" s="189"/>
      <c r="E7" s="53"/>
      <c r="F7" s="49"/>
      <c r="G7" s="55"/>
      <c r="H7" s="82" t="s">
        <v>106</v>
      </c>
      <c r="I7" s="180" t="s">
        <v>27</v>
      </c>
      <c r="J7" s="83"/>
      <c r="K7" s="56"/>
      <c r="L7" s="49"/>
      <c r="M7" s="60"/>
      <c r="N7" s="179"/>
      <c r="O7" s="179"/>
      <c r="P7" s="179"/>
      <c r="Q7" s="61"/>
      <c r="R7" s="49"/>
      <c r="S7" s="49"/>
      <c r="T7" s="49"/>
      <c r="U7" s="49"/>
      <c r="V7" s="49"/>
      <c r="W7" s="49"/>
      <c r="X7" s="49"/>
      <c r="Y7" s="49"/>
    </row>
    <row r="8" spans="1:25" ht="15.75" customHeight="1">
      <c r="A8" s="50"/>
      <c r="B8" s="188" t="s">
        <v>108</v>
      </c>
      <c r="C8" s="180" t="s">
        <v>99</v>
      </c>
      <c r="D8" s="189"/>
      <c r="E8" s="53"/>
      <c r="F8" s="49"/>
      <c r="G8" s="55"/>
      <c r="H8" s="82" t="s">
        <v>108</v>
      </c>
      <c r="I8" s="180" t="s">
        <v>99</v>
      </c>
      <c r="J8" s="83"/>
      <c r="K8" s="56"/>
      <c r="L8" s="49"/>
      <c r="M8" s="60"/>
      <c r="N8" s="179"/>
      <c r="O8" s="179"/>
      <c r="P8" s="179"/>
      <c r="Q8" s="61"/>
      <c r="R8" s="49"/>
      <c r="S8" s="49"/>
      <c r="T8" s="49"/>
      <c r="U8" s="49"/>
      <c r="V8" s="49"/>
      <c r="W8" s="49"/>
      <c r="X8" s="49"/>
      <c r="Y8" s="49"/>
    </row>
    <row r="9" spans="1:25" ht="15.75" customHeight="1">
      <c r="A9" s="50"/>
      <c r="B9" s="188" t="s">
        <v>48</v>
      </c>
      <c r="C9" s="180" t="s">
        <v>25</v>
      </c>
      <c r="D9" s="190"/>
      <c r="E9" s="53"/>
      <c r="F9" s="49"/>
      <c r="G9" s="55"/>
      <c r="H9" s="82" t="s">
        <v>48</v>
      </c>
      <c r="I9" s="180" t="s">
        <v>25</v>
      </c>
      <c r="J9" s="84"/>
      <c r="K9" s="56"/>
      <c r="L9" s="49"/>
      <c r="M9" s="60"/>
      <c r="N9" s="179"/>
      <c r="O9" s="179"/>
      <c r="P9" s="179"/>
      <c r="Q9" s="61"/>
      <c r="R9" s="49"/>
      <c r="S9" s="49"/>
      <c r="T9" s="49"/>
      <c r="U9" s="49"/>
      <c r="V9" s="49"/>
      <c r="W9" s="49"/>
      <c r="X9" s="49"/>
      <c r="Y9" s="49"/>
    </row>
    <row r="10" spans="1:25" ht="15.75" customHeight="1">
      <c r="A10" s="50"/>
      <c r="B10" s="188" t="s">
        <v>49</v>
      </c>
      <c r="C10" s="181">
        <v>45698</v>
      </c>
      <c r="D10" s="190"/>
      <c r="E10" s="53"/>
      <c r="F10" s="49"/>
      <c r="G10" s="55"/>
      <c r="H10" s="82" t="s">
        <v>49</v>
      </c>
      <c r="I10" s="181">
        <v>45686</v>
      </c>
      <c r="J10" s="84"/>
      <c r="K10" s="56"/>
      <c r="L10" s="49"/>
      <c r="M10" s="60"/>
      <c r="N10" s="179"/>
      <c r="O10" s="179"/>
      <c r="P10" s="179"/>
      <c r="Q10" s="61"/>
      <c r="R10" s="49"/>
      <c r="S10" s="49"/>
      <c r="T10" s="49"/>
      <c r="U10" s="49"/>
      <c r="V10" s="49"/>
      <c r="W10" s="49"/>
      <c r="X10" s="49"/>
      <c r="Y10" s="49"/>
    </row>
    <row r="11" spans="1:25" ht="15.75" customHeight="1" thickBot="1">
      <c r="A11" s="50"/>
      <c r="B11" s="191" t="s">
        <v>50</v>
      </c>
      <c r="C11" s="192">
        <v>45698</v>
      </c>
      <c r="D11" s="193"/>
      <c r="E11" s="53"/>
      <c r="F11" s="49"/>
      <c r="G11" s="55"/>
      <c r="H11" s="85" t="s">
        <v>50</v>
      </c>
      <c r="I11" s="86">
        <v>45686</v>
      </c>
      <c r="J11" s="87"/>
      <c r="K11" s="56"/>
      <c r="L11" s="49"/>
      <c r="M11" s="60"/>
      <c r="N11" s="179"/>
      <c r="O11" s="179"/>
      <c r="P11" s="179"/>
      <c r="Q11" s="61"/>
      <c r="R11" s="49"/>
      <c r="S11" s="49"/>
      <c r="T11" s="49"/>
      <c r="U11" s="49"/>
      <c r="V11" s="49"/>
      <c r="W11" s="49"/>
      <c r="X11" s="49"/>
      <c r="Y11" s="49"/>
    </row>
    <row r="12" spans="1:25" ht="15.75" customHeight="1" thickTop="1" thickBot="1">
      <c r="A12" s="50"/>
      <c r="B12" s="177"/>
      <c r="C12" s="177"/>
      <c r="D12" s="177"/>
      <c r="E12" s="53"/>
      <c r="F12" s="49"/>
      <c r="G12" s="55"/>
      <c r="H12" s="178"/>
      <c r="I12" s="178"/>
      <c r="J12" s="178"/>
      <c r="K12" s="56"/>
      <c r="L12" s="49"/>
      <c r="M12" s="60"/>
      <c r="N12" s="179"/>
      <c r="O12" s="179"/>
      <c r="P12" s="179"/>
      <c r="Q12" s="61"/>
      <c r="R12" s="49"/>
      <c r="S12" s="49"/>
      <c r="T12" s="49"/>
      <c r="U12" s="49"/>
      <c r="V12" s="49"/>
      <c r="W12" s="49"/>
      <c r="X12" s="49"/>
      <c r="Y12" s="49"/>
    </row>
    <row r="13" spans="1:25" ht="15.75" customHeight="1" thickTop="1">
      <c r="A13" s="50"/>
      <c r="B13" s="536" t="s">
        <v>164</v>
      </c>
      <c r="C13" s="537"/>
      <c r="D13" s="538"/>
      <c r="E13" s="53"/>
      <c r="F13" s="49"/>
      <c r="G13" s="55"/>
      <c r="H13" s="556" t="s">
        <v>139</v>
      </c>
      <c r="I13" s="557"/>
      <c r="J13" s="512"/>
      <c r="K13" s="56"/>
      <c r="L13" s="49"/>
      <c r="M13" s="60"/>
      <c r="N13" s="179"/>
      <c r="O13" s="179"/>
      <c r="P13" s="179"/>
      <c r="Q13" s="61"/>
      <c r="R13" s="49"/>
      <c r="S13" s="49"/>
      <c r="T13" s="49"/>
      <c r="U13" s="49"/>
      <c r="V13" s="49"/>
      <c r="W13" s="49"/>
      <c r="X13" s="49"/>
      <c r="Y13" s="49"/>
    </row>
    <row r="14" spans="1:25" ht="15.75" customHeight="1">
      <c r="A14" s="50"/>
      <c r="B14" s="194" t="s">
        <v>106</v>
      </c>
      <c r="C14" s="180" t="s">
        <v>27</v>
      </c>
      <c r="D14" s="195"/>
      <c r="E14" s="53"/>
      <c r="F14" s="49"/>
      <c r="G14" s="55"/>
      <c r="H14" s="82" t="s">
        <v>106</v>
      </c>
      <c r="I14" s="180" t="s">
        <v>210</v>
      </c>
      <c r="J14" s="83"/>
      <c r="K14" s="56"/>
      <c r="L14" s="49"/>
      <c r="M14" s="60"/>
      <c r="N14" s="179"/>
      <c r="O14" s="179"/>
      <c r="P14" s="179"/>
      <c r="Q14" s="61"/>
      <c r="R14" s="49"/>
      <c r="S14" s="49"/>
      <c r="T14" s="49"/>
      <c r="U14" s="49"/>
      <c r="V14" s="49"/>
      <c r="W14" s="49"/>
      <c r="X14" s="49"/>
      <c r="Y14" s="49"/>
    </row>
    <row r="15" spans="1:25" ht="15.75" customHeight="1">
      <c r="A15" s="50"/>
      <c r="B15" s="194" t="s">
        <v>108</v>
      </c>
      <c r="C15" s="180" t="s">
        <v>99</v>
      </c>
      <c r="D15" s="195"/>
      <c r="E15" s="53"/>
      <c r="F15" s="49"/>
      <c r="G15" s="55"/>
      <c r="H15" s="82" t="s">
        <v>108</v>
      </c>
      <c r="I15" s="180" t="s">
        <v>99</v>
      </c>
      <c r="J15" s="83"/>
      <c r="K15" s="56"/>
      <c r="L15" s="49"/>
      <c r="M15" s="60"/>
      <c r="N15" s="179"/>
      <c r="O15" s="179"/>
      <c r="P15" s="179"/>
      <c r="Q15" s="61"/>
      <c r="R15" s="49"/>
      <c r="S15" s="49"/>
      <c r="T15" s="49"/>
      <c r="U15" s="49"/>
      <c r="V15" s="49"/>
      <c r="W15" s="49"/>
      <c r="X15" s="49"/>
      <c r="Y15" s="49"/>
    </row>
    <row r="16" spans="1:25" ht="15.75" customHeight="1">
      <c r="A16" s="50"/>
      <c r="B16" s="194" t="s">
        <v>48</v>
      </c>
      <c r="C16" s="180" t="s">
        <v>25</v>
      </c>
      <c r="D16" s="196"/>
      <c r="E16" s="53"/>
      <c r="F16" s="49"/>
      <c r="G16" s="55"/>
      <c r="H16" s="82" t="s">
        <v>48</v>
      </c>
      <c r="I16" s="180" t="s">
        <v>102</v>
      </c>
      <c r="J16" s="84"/>
      <c r="K16" s="56"/>
      <c r="L16" s="49"/>
      <c r="M16" s="60"/>
      <c r="N16" s="179"/>
      <c r="O16" s="179"/>
      <c r="P16" s="179"/>
      <c r="Q16" s="61"/>
      <c r="R16" s="49"/>
      <c r="S16" s="49"/>
      <c r="T16" s="49"/>
      <c r="U16" s="49"/>
      <c r="V16" s="49"/>
      <c r="W16" s="49"/>
      <c r="X16" s="49"/>
      <c r="Y16" s="49"/>
    </row>
    <row r="17" spans="1:25" ht="15.75" customHeight="1">
      <c r="A17" s="50"/>
      <c r="B17" s="194" t="s">
        <v>49</v>
      </c>
      <c r="C17" s="181">
        <v>45699</v>
      </c>
      <c r="D17" s="196"/>
      <c r="E17" s="53"/>
      <c r="F17" s="49"/>
      <c r="G17" s="55"/>
      <c r="H17" s="82" t="s">
        <v>49</v>
      </c>
      <c r="I17" s="181">
        <v>45686</v>
      </c>
      <c r="J17" s="84"/>
      <c r="K17" s="56"/>
      <c r="L17" s="49"/>
      <c r="M17" s="60"/>
      <c r="N17" s="179"/>
      <c r="O17" s="179"/>
      <c r="P17" s="179"/>
      <c r="Q17" s="61"/>
      <c r="R17" s="49"/>
      <c r="S17" s="49"/>
      <c r="T17" s="49"/>
      <c r="U17" s="49"/>
      <c r="V17" s="49"/>
      <c r="W17" s="49"/>
      <c r="X17" s="49"/>
      <c r="Y17" s="49"/>
    </row>
    <row r="18" spans="1:25" ht="15.75" customHeight="1" thickBot="1">
      <c r="A18" s="50"/>
      <c r="B18" s="197" t="s">
        <v>50</v>
      </c>
      <c r="C18" s="198">
        <v>45699</v>
      </c>
      <c r="D18" s="199"/>
      <c r="E18" s="53"/>
      <c r="F18" s="49"/>
      <c r="G18" s="55"/>
      <c r="H18" s="85" t="s">
        <v>50</v>
      </c>
      <c r="I18" s="86">
        <v>45687</v>
      </c>
      <c r="J18" s="87"/>
      <c r="K18" s="56"/>
      <c r="L18" s="49"/>
      <c r="M18" s="60"/>
      <c r="N18" s="179"/>
      <c r="O18" s="179"/>
      <c r="P18" s="179"/>
      <c r="Q18" s="61"/>
      <c r="R18" s="49"/>
      <c r="S18" s="49"/>
      <c r="T18" s="49"/>
      <c r="U18" s="49"/>
      <c r="V18" s="49"/>
      <c r="W18" s="49"/>
      <c r="X18" s="49"/>
      <c r="Y18" s="49"/>
    </row>
    <row r="19" spans="1:25" ht="15.75" customHeight="1" thickTop="1" thickBot="1">
      <c r="A19" s="50"/>
      <c r="B19" s="177"/>
      <c r="C19" s="177"/>
      <c r="D19" s="177"/>
      <c r="E19" s="53"/>
      <c r="F19" s="49"/>
      <c r="G19" s="55"/>
      <c r="H19" s="178"/>
      <c r="I19" s="178"/>
      <c r="J19" s="178"/>
      <c r="K19" s="56"/>
      <c r="L19" s="49"/>
      <c r="M19" s="60"/>
      <c r="N19" s="179"/>
      <c r="O19" s="179"/>
      <c r="P19" s="179"/>
      <c r="Q19" s="61"/>
      <c r="R19" s="49"/>
      <c r="S19" s="49"/>
      <c r="T19" s="49"/>
      <c r="U19" s="49"/>
      <c r="V19" s="49"/>
      <c r="W19" s="49"/>
      <c r="X19" s="49"/>
      <c r="Y19" s="49"/>
    </row>
    <row r="20" spans="1:25" ht="15.75" customHeight="1" thickTop="1">
      <c r="A20" s="50"/>
      <c r="B20" s="536" t="s">
        <v>164</v>
      </c>
      <c r="C20" s="537"/>
      <c r="D20" s="538"/>
      <c r="E20" s="53"/>
      <c r="F20" s="49"/>
      <c r="G20" s="55"/>
      <c r="H20" s="556" t="s">
        <v>139</v>
      </c>
      <c r="I20" s="557"/>
      <c r="J20" s="512"/>
      <c r="K20" s="56"/>
      <c r="L20" s="49"/>
      <c r="M20" s="60"/>
      <c r="N20" s="179"/>
      <c r="O20" s="179"/>
      <c r="P20" s="179"/>
      <c r="Q20" s="61"/>
      <c r="R20" s="49"/>
      <c r="S20" s="49"/>
      <c r="T20" s="49"/>
      <c r="U20" s="49"/>
      <c r="V20" s="49"/>
      <c r="W20" s="49"/>
      <c r="X20" s="49"/>
      <c r="Y20" s="49"/>
    </row>
    <row r="21" spans="1:25" ht="15.75" customHeight="1">
      <c r="A21" s="50"/>
      <c r="B21" s="194" t="s">
        <v>106</v>
      </c>
      <c r="C21" s="180" t="s">
        <v>214</v>
      </c>
      <c r="D21" s="195"/>
      <c r="E21" s="53"/>
      <c r="F21" s="49"/>
      <c r="G21" s="55"/>
      <c r="H21" s="82" t="s">
        <v>106</v>
      </c>
      <c r="I21" s="180" t="s">
        <v>214</v>
      </c>
      <c r="J21" s="83"/>
      <c r="K21" s="56"/>
      <c r="L21" s="49"/>
      <c r="M21" s="60"/>
      <c r="N21" s="179"/>
      <c r="O21" s="179"/>
      <c r="P21" s="179"/>
      <c r="Q21" s="61"/>
      <c r="R21" s="49"/>
      <c r="S21" s="49"/>
      <c r="T21" s="49"/>
      <c r="U21" s="49"/>
      <c r="V21" s="49"/>
      <c r="W21" s="49"/>
      <c r="X21" s="49"/>
      <c r="Y21" s="49"/>
    </row>
    <row r="22" spans="1:25" ht="15.75" customHeight="1">
      <c r="A22" s="50"/>
      <c r="B22" s="194" t="s">
        <v>108</v>
      </c>
      <c r="C22" s="180" t="s">
        <v>99</v>
      </c>
      <c r="D22" s="195"/>
      <c r="E22" s="53"/>
      <c r="F22" s="49"/>
      <c r="G22" s="55"/>
      <c r="H22" s="82" t="s">
        <v>108</v>
      </c>
      <c r="I22" s="180" t="s">
        <v>99</v>
      </c>
      <c r="J22" s="83"/>
      <c r="K22" s="56"/>
      <c r="L22" s="49"/>
      <c r="M22" s="60"/>
      <c r="N22" s="179"/>
      <c r="O22" s="179"/>
      <c r="P22" s="179"/>
      <c r="Q22" s="61"/>
      <c r="R22" s="49"/>
      <c r="S22" s="49"/>
      <c r="T22" s="49"/>
      <c r="U22" s="49"/>
      <c r="V22" s="49"/>
      <c r="W22" s="49"/>
      <c r="X22" s="49"/>
      <c r="Y22" s="49"/>
    </row>
    <row r="23" spans="1:25" ht="15.75" customHeight="1">
      <c r="A23" s="50"/>
      <c r="B23" s="194" t="s">
        <v>48</v>
      </c>
      <c r="C23" s="180" t="s">
        <v>39</v>
      </c>
      <c r="D23" s="196"/>
      <c r="E23" s="53"/>
      <c r="F23" s="49"/>
      <c r="G23" s="55"/>
      <c r="H23" s="82" t="s">
        <v>48</v>
      </c>
      <c r="I23" s="180" t="s">
        <v>39</v>
      </c>
      <c r="J23" s="84"/>
      <c r="K23" s="56"/>
      <c r="L23" s="49"/>
      <c r="M23" s="60"/>
      <c r="N23" s="179"/>
      <c r="O23" s="179"/>
      <c r="P23" s="179"/>
      <c r="Q23" s="61"/>
      <c r="R23" s="49"/>
      <c r="S23" s="49"/>
      <c r="T23" s="49"/>
      <c r="U23" s="49"/>
      <c r="V23" s="49"/>
      <c r="W23" s="49"/>
      <c r="X23" s="49"/>
      <c r="Y23" s="49"/>
    </row>
    <row r="24" spans="1:25" ht="15.75" customHeight="1">
      <c r="A24" s="50"/>
      <c r="B24" s="194" t="s">
        <v>49</v>
      </c>
      <c r="C24" s="181">
        <v>45698</v>
      </c>
      <c r="D24" s="196"/>
      <c r="E24" s="53"/>
      <c r="F24" s="49"/>
      <c r="G24" s="55"/>
      <c r="H24" s="82" t="s">
        <v>49</v>
      </c>
      <c r="I24" s="181">
        <v>45688</v>
      </c>
      <c r="J24" s="84"/>
      <c r="K24" s="56"/>
      <c r="L24" s="49"/>
      <c r="M24" s="60"/>
      <c r="N24" s="179"/>
      <c r="O24" s="179"/>
      <c r="P24" s="179"/>
      <c r="Q24" s="61"/>
      <c r="R24" s="49"/>
      <c r="S24" s="49"/>
      <c r="T24" s="49"/>
      <c r="U24" s="49"/>
      <c r="V24" s="49"/>
      <c r="W24" s="49"/>
      <c r="X24" s="49"/>
      <c r="Y24" s="49"/>
    </row>
    <row r="25" spans="1:25" ht="15.75" customHeight="1" thickBot="1">
      <c r="A25" s="50"/>
      <c r="B25" s="197" t="s">
        <v>50</v>
      </c>
      <c r="C25" s="198">
        <v>45701</v>
      </c>
      <c r="D25" s="199"/>
      <c r="E25" s="53"/>
      <c r="F25" s="49"/>
      <c r="G25" s="55"/>
      <c r="H25" s="85" t="s">
        <v>50</v>
      </c>
      <c r="I25" s="86">
        <v>45694</v>
      </c>
      <c r="J25" s="87"/>
      <c r="K25" s="56"/>
      <c r="L25" s="49"/>
      <c r="M25" s="60"/>
      <c r="N25" s="179"/>
      <c r="O25" s="179"/>
      <c r="P25" s="179"/>
      <c r="Q25" s="61"/>
      <c r="R25" s="49"/>
      <c r="S25" s="49"/>
      <c r="T25" s="49"/>
      <c r="U25" s="49"/>
      <c r="V25" s="49"/>
      <c r="W25" s="49"/>
      <c r="X25" s="49"/>
      <c r="Y25" s="49"/>
    </row>
    <row r="26" spans="1:25" ht="15.75" customHeight="1" thickTop="1" thickBot="1">
      <c r="A26" s="50"/>
      <c r="B26" s="177"/>
      <c r="C26" s="177"/>
      <c r="D26" s="177"/>
      <c r="E26" s="53"/>
      <c r="F26" s="49"/>
      <c r="G26" s="55"/>
      <c r="H26" s="178"/>
      <c r="I26" s="178"/>
      <c r="J26" s="178"/>
      <c r="K26" s="56"/>
      <c r="L26" s="49"/>
      <c r="M26" s="60"/>
      <c r="N26" s="179"/>
      <c r="O26" s="179"/>
      <c r="P26" s="179"/>
      <c r="Q26" s="61"/>
      <c r="R26" s="49"/>
      <c r="S26" s="49"/>
      <c r="T26" s="49"/>
      <c r="U26" s="49"/>
      <c r="V26" s="49"/>
      <c r="W26" s="49"/>
      <c r="X26" s="49"/>
      <c r="Y26" s="49"/>
    </row>
    <row r="27" spans="1:25" ht="15.75" customHeight="1" thickTop="1">
      <c r="A27" s="50"/>
      <c r="B27" s="541" t="s">
        <v>167</v>
      </c>
      <c r="C27" s="542"/>
      <c r="D27" s="543"/>
      <c r="E27" s="53"/>
      <c r="F27" s="49"/>
      <c r="G27" s="55"/>
      <c r="H27" s="558" t="s">
        <v>144</v>
      </c>
      <c r="I27" s="559"/>
      <c r="J27" s="512"/>
      <c r="K27" s="56"/>
      <c r="L27" s="49"/>
      <c r="M27" s="60"/>
      <c r="N27" s="179"/>
      <c r="O27" s="179"/>
      <c r="P27" s="179"/>
      <c r="Q27" s="61"/>
      <c r="R27" s="49"/>
      <c r="S27" s="49"/>
      <c r="T27" s="49"/>
      <c r="U27" s="49"/>
      <c r="V27" s="49"/>
      <c r="W27" s="49"/>
      <c r="X27" s="49"/>
      <c r="Y27" s="49"/>
    </row>
    <row r="28" spans="1:25" ht="15.75" customHeight="1">
      <c r="A28" s="50"/>
      <c r="B28" s="200" t="s">
        <v>106</v>
      </c>
      <c r="C28" s="180" t="s">
        <v>27</v>
      </c>
      <c r="D28" s="201"/>
      <c r="E28" s="53"/>
      <c r="F28" s="49"/>
      <c r="G28" s="55"/>
      <c r="H28" s="82" t="s">
        <v>106</v>
      </c>
      <c r="I28" s="180" t="s">
        <v>27</v>
      </c>
      <c r="J28" s="83"/>
      <c r="K28" s="56"/>
      <c r="L28" s="49"/>
      <c r="M28" s="60"/>
      <c r="N28" s="179"/>
      <c r="O28" s="179"/>
      <c r="P28" s="179"/>
      <c r="Q28" s="61"/>
      <c r="R28" s="49"/>
      <c r="S28" s="49"/>
      <c r="T28" s="49"/>
      <c r="U28" s="49"/>
      <c r="V28" s="49"/>
      <c r="W28" s="49"/>
      <c r="X28" s="49"/>
      <c r="Y28" s="49"/>
    </row>
    <row r="29" spans="1:25" ht="15.75" customHeight="1">
      <c r="A29" s="50"/>
      <c r="B29" s="200" t="s">
        <v>108</v>
      </c>
      <c r="C29" s="180" t="s">
        <v>99</v>
      </c>
      <c r="D29" s="201"/>
      <c r="E29" s="53"/>
      <c r="F29" s="49"/>
      <c r="G29" s="55"/>
      <c r="H29" s="82" t="s">
        <v>108</v>
      </c>
      <c r="I29" s="180" t="s">
        <v>99</v>
      </c>
      <c r="J29" s="83"/>
      <c r="K29" s="56"/>
      <c r="L29" s="49"/>
      <c r="M29" s="60"/>
      <c r="N29" s="179"/>
      <c r="O29" s="179"/>
      <c r="P29" s="179"/>
      <c r="Q29" s="61"/>
      <c r="R29" s="49"/>
      <c r="S29" s="49"/>
      <c r="T29" s="49"/>
      <c r="U29" s="49"/>
      <c r="V29" s="49"/>
      <c r="W29" s="49"/>
      <c r="X29" s="49"/>
      <c r="Y29" s="49"/>
    </row>
    <row r="30" spans="1:25" ht="15.75" customHeight="1">
      <c r="A30" s="50"/>
      <c r="B30" s="200" t="s">
        <v>48</v>
      </c>
      <c r="C30" s="180" t="s">
        <v>25</v>
      </c>
      <c r="D30" s="202"/>
      <c r="E30" s="53"/>
      <c r="F30" s="49"/>
      <c r="G30" s="55"/>
      <c r="H30" s="82" t="s">
        <v>48</v>
      </c>
      <c r="I30" s="180" t="s">
        <v>25</v>
      </c>
      <c r="J30" s="84"/>
      <c r="K30" s="56"/>
      <c r="L30" s="49"/>
      <c r="M30" s="60"/>
      <c r="N30" s="179"/>
      <c r="O30" s="179"/>
      <c r="P30" s="179"/>
      <c r="Q30" s="61"/>
      <c r="R30" s="49"/>
      <c r="S30" s="49"/>
      <c r="T30" s="49"/>
      <c r="U30" s="49"/>
      <c r="V30" s="49"/>
      <c r="W30" s="49"/>
      <c r="X30" s="49"/>
      <c r="Y30" s="49"/>
    </row>
    <row r="31" spans="1:25" ht="15.75" customHeight="1">
      <c r="A31" s="50"/>
      <c r="B31" s="200" t="s">
        <v>49</v>
      </c>
      <c r="C31" s="181">
        <v>45700</v>
      </c>
      <c r="D31" s="202"/>
      <c r="E31" s="53"/>
      <c r="F31" s="49"/>
      <c r="G31" s="55"/>
      <c r="H31" s="82" t="s">
        <v>49</v>
      </c>
      <c r="I31" s="181">
        <v>45687</v>
      </c>
      <c r="J31" s="84"/>
      <c r="K31" s="56"/>
      <c r="L31" s="49"/>
      <c r="M31" s="60"/>
      <c r="N31" s="179"/>
      <c r="O31" s="179"/>
      <c r="P31" s="179"/>
      <c r="Q31" s="61"/>
      <c r="R31" s="49"/>
      <c r="S31" s="49"/>
      <c r="T31" s="49"/>
      <c r="U31" s="49"/>
      <c r="V31" s="49"/>
      <c r="W31" s="49"/>
      <c r="X31" s="49"/>
      <c r="Y31" s="49"/>
    </row>
    <row r="32" spans="1:25" ht="15.75" customHeight="1" thickBot="1">
      <c r="A32" s="50"/>
      <c r="B32" s="203" t="s">
        <v>50</v>
      </c>
      <c r="C32" s="204">
        <v>45700</v>
      </c>
      <c r="D32" s="205"/>
      <c r="E32" s="53"/>
      <c r="F32" s="49"/>
      <c r="G32" s="55"/>
      <c r="H32" s="85" t="s">
        <v>50</v>
      </c>
      <c r="I32" s="86">
        <v>45687</v>
      </c>
      <c r="J32" s="87"/>
      <c r="K32" s="56"/>
      <c r="L32" s="49"/>
      <c r="M32" s="60"/>
      <c r="N32" s="179"/>
      <c r="O32" s="179"/>
      <c r="P32" s="179"/>
      <c r="Q32" s="61"/>
      <c r="R32" s="49"/>
      <c r="S32" s="49"/>
      <c r="T32" s="49"/>
      <c r="U32" s="49"/>
      <c r="V32" s="49"/>
      <c r="W32" s="49"/>
      <c r="X32" s="49"/>
      <c r="Y32" s="49"/>
    </row>
    <row r="33" spans="1:25" ht="15.75" customHeight="1" thickTop="1" thickBot="1">
      <c r="A33" s="50"/>
      <c r="B33" s="177"/>
      <c r="C33" s="177"/>
      <c r="D33" s="177"/>
      <c r="E33" s="53"/>
      <c r="F33" s="49"/>
      <c r="G33" s="55"/>
      <c r="H33" s="178"/>
      <c r="I33" s="178"/>
      <c r="J33" s="178"/>
      <c r="K33" s="56"/>
      <c r="L33" s="49"/>
      <c r="M33" s="60"/>
      <c r="N33" s="179"/>
      <c r="O33" s="179"/>
      <c r="P33" s="179"/>
      <c r="Q33" s="61"/>
      <c r="R33" s="49"/>
      <c r="S33" s="49"/>
      <c r="T33" s="49"/>
      <c r="U33" s="49"/>
      <c r="V33" s="49"/>
      <c r="W33" s="49"/>
      <c r="X33" s="49"/>
      <c r="Y33" s="49"/>
    </row>
    <row r="34" spans="1:25" ht="15.75" customHeight="1" thickTop="1">
      <c r="A34" s="50"/>
      <c r="B34" s="541" t="s">
        <v>167</v>
      </c>
      <c r="C34" s="542"/>
      <c r="D34" s="543"/>
      <c r="E34" s="53"/>
      <c r="F34" s="49"/>
      <c r="G34" s="55"/>
      <c r="H34" s="558" t="s">
        <v>144</v>
      </c>
      <c r="I34" s="559"/>
      <c r="J34" s="512"/>
      <c r="K34" s="56"/>
      <c r="L34" s="49"/>
      <c r="M34" s="60"/>
      <c r="N34" s="179"/>
      <c r="O34" s="179"/>
      <c r="P34" s="179"/>
      <c r="Q34" s="61"/>
      <c r="R34" s="49"/>
      <c r="S34" s="49"/>
      <c r="T34" s="49"/>
      <c r="U34" s="49"/>
      <c r="V34" s="49"/>
      <c r="W34" s="49"/>
      <c r="X34" s="49"/>
      <c r="Y34" s="49"/>
    </row>
    <row r="35" spans="1:25" ht="15.75" customHeight="1">
      <c r="A35" s="50"/>
      <c r="B35" s="200" t="s">
        <v>106</v>
      </c>
      <c r="C35" s="180" t="s">
        <v>214</v>
      </c>
      <c r="D35" s="201"/>
      <c r="E35" s="53"/>
      <c r="F35" s="49"/>
      <c r="G35" s="55"/>
      <c r="H35" s="82" t="s">
        <v>106</v>
      </c>
      <c r="I35" s="180" t="s">
        <v>210</v>
      </c>
      <c r="J35" s="83"/>
      <c r="K35" s="56"/>
      <c r="L35" s="49"/>
      <c r="M35" s="60"/>
      <c r="N35" s="179"/>
      <c r="O35" s="179"/>
      <c r="P35" s="179"/>
      <c r="Q35" s="61"/>
      <c r="R35" s="49"/>
      <c r="S35" s="49"/>
      <c r="T35" s="49"/>
      <c r="U35" s="49"/>
      <c r="V35" s="49"/>
      <c r="W35" s="49"/>
      <c r="X35" s="49"/>
      <c r="Y35" s="49"/>
    </row>
    <row r="36" spans="1:25" ht="15.75" customHeight="1">
      <c r="A36" s="50"/>
      <c r="B36" s="200" t="s">
        <v>108</v>
      </c>
      <c r="C36" s="180" t="s">
        <v>99</v>
      </c>
      <c r="D36" s="201"/>
      <c r="E36" s="53"/>
      <c r="F36" s="49"/>
      <c r="G36" s="55"/>
      <c r="H36" s="82" t="s">
        <v>108</v>
      </c>
      <c r="I36" s="180" t="s">
        <v>99</v>
      </c>
      <c r="J36" s="83"/>
      <c r="K36" s="56"/>
      <c r="L36" s="49"/>
      <c r="M36" s="60"/>
      <c r="N36" s="179"/>
      <c r="O36" s="179"/>
      <c r="P36" s="179"/>
      <c r="Q36" s="61"/>
      <c r="R36" s="49"/>
      <c r="S36" s="49"/>
      <c r="T36" s="49"/>
      <c r="U36" s="49"/>
      <c r="V36" s="49"/>
      <c r="W36" s="49"/>
      <c r="X36" s="49"/>
      <c r="Y36" s="49"/>
    </row>
    <row r="37" spans="1:25" ht="15.75" customHeight="1">
      <c r="A37" s="50"/>
      <c r="B37" s="200" t="s">
        <v>48</v>
      </c>
      <c r="C37" s="180" t="s">
        <v>39</v>
      </c>
      <c r="D37" s="202"/>
      <c r="E37" s="53"/>
      <c r="F37" s="49"/>
      <c r="G37" s="55"/>
      <c r="H37" s="82" t="s">
        <v>48</v>
      </c>
      <c r="I37" s="180" t="s">
        <v>102</v>
      </c>
      <c r="J37" s="84"/>
      <c r="K37" s="56"/>
      <c r="L37" s="49"/>
      <c r="M37" s="60"/>
      <c r="N37" s="179"/>
      <c r="O37" s="179"/>
      <c r="P37" s="179"/>
      <c r="Q37" s="61"/>
      <c r="R37" s="49"/>
      <c r="S37" s="49"/>
      <c r="T37" s="49"/>
      <c r="U37" s="49"/>
      <c r="V37" s="49"/>
      <c r="W37" s="49"/>
      <c r="X37" s="49"/>
      <c r="Y37" s="49"/>
    </row>
    <row r="38" spans="1:25" ht="15.75" customHeight="1">
      <c r="A38" s="50"/>
      <c r="B38" s="200" t="s">
        <v>49</v>
      </c>
      <c r="C38" s="181">
        <v>45698</v>
      </c>
      <c r="D38" s="202"/>
      <c r="E38" s="53"/>
      <c r="F38" s="49"/>
      <c r="G38" s="55"/>
      <c r="H38" s="82" t="s">
        <v>49</v>
      </c>
      <c r="I38" s="181">
        <v>45686</v>
      </c>
      <c r="J38" s="84"/>
      <c r="K38" s="56"/>
      <c r="L38" s="49"/>
      <c r="M38" s="60"/>
      <c r="N38" s="179"/>
      <c r="O38" s="179"/>
      <c r="P38" s="179"/>
      <c r="Q38" s="61"/>
      <c r="R38" s="49"/>
      <c r="S38" s="49"/>
      <c r="T38" s="49"/>
      <c r="U38" s="49"/>
      <c r="V38" s="49"/>
      <c r="W38" s="49"/>
      <c r="X38" s="49"/>
      <c r="Y38" s="49"/>
    </row>
    <row r="39" spans="1:25" ht="15.75" customHeight="1" thickBot="1">
      <c r="A39" s="50"/>
      <c r="B39" s="203" t="s">
        <v>50</v>
      </c>
      <c r="C39" s="204">
        <v>45702</v>
      </c>
      <c r="D39" s="205"/>
      <c r="E39" s="53"/>
      <c r="F39" s="49"/>
      <c r="G39" s="55"/>
      <c r="H39" s="85" t="s">
        <v>50</v>
      </c>
      <c r="I39" s="86">
        <v>45687</v>
      </c>
      <c r="J39" s="87"/>
      <c r="K39" s="56"/>
      <c r="L39" s="49"/>
      <c r="M39" s="60"/>
      <c r="N39" s="179"/>
      <c r="O39" s="179"/>
      <c r="P39" s="179"/>
      <c r="Q39" s="61"/>
      <c r="R39" s="49"/>
      <c r="S39" s="49"/>
      <c r="T39" s="49"/>
      <c r="U39" s="49"/>
      <c r="V39" s="49"/>
      <c r="W39" s="49"/>
      <c r="X39" s="49"/>
      <c r="Y39" s="49"/>
    </row>
    <row r="40" spans="1:25" ht="15.75" customHeight="1" thickTop="1" thickBot="1">
      <c r="A40" s="50"/>
      <c r="B40" s="177"/>
      <c r="C40" s="177"/>
      <c r="D40" s="177"/>
      <c r="E40" s="53"/>
      <c r="F40" s="49"/>
      <c r="G40" s="55"/>
      <c r="H40" s="178"/>
      <c r="I40" s="178"/>
      <c r="J40" s="178"/>
      <c r="K40" s="56"/>
      <c r="L40" s="49"/>
      <c r="M40" s="60"/>
      <c r="N40" s="179"/>
      <c r="O40" s="179"/>
      <c r="P40" s="179"/>
      <c r="Q40" s="61"/>
      <c r="R40" s="49"/>
      <c r="S40" s="49"/>
      <c r="T40" s="49"/>
      <c r="U40" s="49"/>
      <c r="V40" s="49"/>
      <c r="W40" s="49"/>
      <c r="X40" s="49"/>
      <c r="Y40" s="49"/>
    </row>
    <row r="41" spans="1:25" ht="15.75" customHeight="1" thickTop="1">
      <c r="A41" s="50"/>
      <c r="B41" s="544" t="s">
        <v>169</v>
      </c>
      <c r="C41" s="545"/>
      <c r="D41" s="546"/>
      <c r="E41" s="53"/>
      <c r="F41" s="49"/>
      <c r="G41" s="55"/>
      <c r="H41" s="558" t="s">
        <v>144</v>
      </c>
      <c r="I41" s="559"/>
      <c r="J41" s="512"/>
      <c r="K41" s="56"/>
      <c r="L41" s="49"/>
      <c r="M41" s="60"/>
      <c r="N41" s="179"/>
      <c r="O41" s="179"/>
      <c r="P41" s="179"/>
      <c r="Q41" s="61"/>
      <c r="R41" s="49"/>
      <c r="S41" s="49"/>
      <c r="T41" s="49"/>
      <c r="U41" s="49"/>
      <c r="V41" s="49"/>
      <c r="W41" s="49"/>
      <c r="X41" s="49"/>
      <c r="Y41" s="49"/>
    </row>
    <row r="42" spans="1:25" ht="15.75" customHeight="1">
      <c r="A42" s="50"/>
      <c r="B42" s="206" t="s">
        <v>106</v>
      </c>
      <c r="C42" s="180" t="s">
        <v>27</v>
      </c>
      <c r="D42" s="207"/>
      <c r="E42" s="53"/>
      <c r="F42" s="49"/>
      <c r="G42" s="55"/>
      <c r="H42" s="82" t="s">
        <v>106</v>
      </c>
      <c r="I42" s="180" t="s">
        <v>214</v>
      </c>
      <c r="J42" s="83"/>
      <c r="K42" s="56"/>
      <c r="L42" s="49"/>
      <c r="M42" s="60"/>
      <c r="N42" s="179"/>
      <c r="O42" s="179"/>
      <c r="P42" s="179"/>
      <c r="Q42" s="61"/>
      <c r="R42" s="49"/>
      <c r="S42" s="49"/>
      <c r="T42" s="49"/>
      <c r="U42" s="49"/>
      <c r="V42" s="49"/>
      <c r="W42" s="49"/>
      <c r="X42" s="49"/>
      <c r="Y42" s="49"/>
    </row>
    <row r="43" spans="1:25" ht="15.75" customHeight="1">
      <c r="A43" s="50"/>
      <c r="B43" s="206" t="s">
        <v>108</v>
      </c>
      <c r="C43" s="180" t="s">
        <v>99</v>
      </c>
      <c r="D43" s="207"/>
      <c r="E43" s="53"/>
      <c r="F43" s="49"/>
      <c r="G43" s="55"/>
      <c r="H43" s="82" t="s">
        <v>108</v>
      </c>
      <c r="I43" s="180" t="s">
        <v>99</v>
      </c>
      <c r="J43" s="83"/>
      <c r="K43" s="56"/>
      <c r="L43" s="49"/>
      <c r="M43" s="60"/>
      <c r="N43" s="179"/>
      <c r="O43" s="179"/>
      <c r="P43" s="179"/>
      <c r="Q43" s="61"/>
      <c r="R43" s="49"/>
      <c r="S43" s="49"/>
      <c r="T43" s="49"/>
      <c r="U43" s="49"/>
      <c r="V43" s="49"/>
      <c r="W43" s="49"/>
      <c r="X43" s="49"/>
      <c r="Y43" s="49"/>
    </row>
    <row r="44" spans="1:25" ht="15.75" customHeight="1">
      <c r="A44" s="50"/>
      <c r="B44" s="206" t="s">
        <v>48</v>
      </c>
      <c r="C44" s="180" t="s">
        <v>25</v>
      </c>
      <c r="D44" s="208"/>
      <c r="E44" s="53"/>
      <c r="F44" s="49"/>
      <c r="G44" s="55"/>
      <c r="H44" s="82" t="s">
        <v>48</v>
      </c>
      <c r="I44" s="180" t="s">
        <v>39</v>
      </c>
      <c r="J44" s="84"/>
      <c r="K44" s="56"/>
      <c r="L44" s="49"/>
      <c r="M44" s="60"/>
      <c r="N44" s="179"/>
      <c r="O44" s="179"/>
      <c r="P44" s="179"/>
      <c r="Q44" s="61"/>
      <c r="R44" s="49"/>
      <c r="S44" s="49"/>
      <c r="T44" s="49"/>
      <c r="U44" s="49"/>
      <c r="V44" s="49"/>
      <c r="W44" s="49"/>
      <c r="X44" s="49"/>
      <c r="Y44" s="49"/>
    </row>
    <row r="45" spans="1:25" ht="15.75" customHeight="1">
      <c r="A45" s="50"/>
      <c r="B45" s="206" t="s">
        <v>49</v>
      </c>
      <c r="C45" s="181">
        <v>45701</v>
      </c>
      <c r="D45" s="208"/>
      <c r="E45" s="53"/>
      <c r="F45" s="49"/>
      <c r="G45" s="55"/>
      <c r="H45" s="82" t="s">
        <v>49</v>
      </c>
      <c r="I45" s="181">
        <v>45688</v>
      </c>
      <c r="J45" s="84"/>
      <c r="K45" s="56"/>
      <c r="L45" s="49"/>
      <c r="M45" s="60"/>
      <c r="N45" s="179"/>
      <c r="O45" s="179"/>
      <c r="P45" s="179"/>
      <c r="Q45" s="61"/>
      <c r="R45" s="49"/>
      <c r="S45" s="49"/>
      <c r="T45" s="49"/>
      <c r="U45" s="49"/>
      <c r="V45" s="49"/>
      <c r="W45" s="49"/>
      <c r="X45" s="49"/>
      <c r="Y45" s="49"/>
    </row>
    <row r="46" spans="1:25" ht="15.75" customHeight="1" thickBot="1">
      <c r="A46" s="50"/>
      <c r="B46" s="209" t="s">
        <v>50</v>
      </c>
      <c r="C46" s="210">
        <v>45701</v>
      </c>
      <c r="D46" s="211"/>
      <c r="E46" s="53"/>
      <c r="F46" s="49"/>
      <c r="G46" s="55"/>
      <c r="H46" s="85" t="s">
        <v>50</v>
      </c>
      <c r="I46" s="86">
        <v>45693</v>
      </c>
      <c r="J46" s="87"/>
      <c r="K46" s="56"/>
      <c r="L46" s="49"/>
      <c r="M46" s="60"/>
      <c r="N46" s="179"/>
      <c r="O46" s="179"/>
      <c r="P46" s="179"/>
      <c r="Q46" s="61"/>
      <c r="R46" s="49"/>
      <c r="S46" s="49"/>
      <c r="T46" s="49"/>
      <c r="U46" s="49"/>
      <c r="V46" s="49"/>
      <c r="W46" s="49"/>
      <c r="X46" s="49"/>
      <c r="Y46" s="49"/>
    </row>
    <row r="47" spans="1:25" ht="15.75" customHeight="1" thickTop="1" thickBot="1">
      <c r="A47" s="50"/>
      <c r="B47" s="177"/>
      <c r="C47" s="177"/>
      <c r="D47" s="177"/>
      <c r="E47" s="53"/>
      <c r="F47" s="49"/>
      <c r="G47" s="55"/>
      <c r="H47" s="178"/>
      <c r="I47" s="178"/>
      <c r="J47" s="178"/>
      <c r="K47" s="56"/>
      <c r="L47" s="49"/>
      <c r="M47" s="60"/>
      <c r="N47" s="179"/>
      <c r="O47" s="179"/>
      <c r="P47" s="179"/>
      <c r="Q47" s="61"/>
      <c r="R47" s="49"/>
      <c r="S47" s="49"/>
      <c r="T47" s="49"/>
      <c r="U47" s="49"/>
      <c r="V47" s="49"/>
      <c r="W47" s="49"/>
      <c r="X47" s="49"/>
      <c r="Y47" s="49"/>
    </row>
    <row r="48" spans="1:25" ht="15.75" customHeight="1" thickTop="1">
      <c r="A48" s="50"/>
      <c r="B48" s="544" t="s">
        <v>169</v>
      </c>
      <c r="C48" s="545"/>
      <c r="D48" s="546"/>
      <c r="E48" s="53"/>
      <c r="F48" s="49"/>
      <c r="G48" s="55"/>
      <c r="H48" s="560" t="s">
        <v>147</v>
      </c>
      <c r="I48" s="561"/>
      <c r="J48" s="512"/>
      <c r="K48" s="56"/>
      <c r="L48" s="49"/>
      <c r="M48" s="60"/>
      <c r="N48" s="179"/>
      <c r="O48" s="179"/>
      <c r="P48" s="179"/>
      <c r="Q48" s="61"/>
      <c r="R48" s="49"/>
      <c r="S48" s="49"/>
      <c r="T48" s="49"/>
      <c r="U48" s="49"/>
      <c r="V48" s="49"/>
      <c r="W48" s="49"/>
      <c r="X48" s="49"/>
      <c r="Y48" s="49"/>
    </row>
    <row r="49" spans="1:25" ht="15.75" customHeight="1">
      <c r="A49" s="50"/>
      <c r="B49" s="206" t="s">
        <v>106</v>
      </c>
      <c r="C49" s="180" t="s">
        <v>214</v>
      </c>
      <c r="D49" s="207"/>
      <c r="E49" s="53"/>
      <c r="F49" s="49"/>
      <c r="G49" s="55"/>
      <c r="H49" s="82" t="s">
        <v>106</v>
      </c>
      <c r="I49" s="180" t="s">
        <v>27</v>
      </c>
      <c r="J49" s="83"/>
      <c r="K49" s="56"/>
      <c r="L49" s="49"/>
      <c r="M49" s="60"/>
      <c r="N49" s="179"/>
      <c r="O49" s="179"/>
      <c r="P49" s="179"/>
      <c r="Q49" s="61"/>
      <c r="R49" s="49"/>
      <c r="S49" s="49"/>
      <c r="T49" s="49"/>
      <c r="U49" s="49"/>
      <c r="V49" s="49"/>
      <c r="W49" s="49"/>
      <c r="X49" s="49"/>
      <c r="Y49" s="49"/>
    </row>
    <row r="50" spans="1:25" ht="15.75" customHeight="1">
      <c r="A50" s="50"/>
      <c r="B50" s="206" t="s">
        <v>108</v>
      </c>
      <c r="C50" s="180" t="s">
        <v>99</v>
      </c>
      <c r="D50" s="207"/>
      <c r="E50" s="53"/>
      <c r="F50" s="49"/>
      <c r="G50" s="55"/>
      <c r="H50" s="82" t="s">
        <v>108</v>
      </c>
      <c r="I50" s="180" t="s">
        <v>99</v>
      </c>
      <c r="J50" s="83"/>
      <c r="K50" s="56"/>
      <c r="L50" s="49"/>
      <c r="M50" s="60"/>
      <c r="N50" s="179"/>
      <c r="O50" s="179"/>
      <c r="P50" s="179"/>
      <c r="Q50" s="61"/>
      <c r="R50" s="49"/>
      <c r="S50" s="49"/>
      <c r="T50" s="49"/>
      <c r="U50" s="49"/>
      <c r="V50" s="49"/>
      <c r="W50" s="49"/>
      <c r="X50" s="49"/>
      <c r="Y50" s="49"/>
    </row>
    <row r="51" spans="1:25" ht="15.75" customHeight="1">
      <c r="A51" s="50"/>
      <c r="B51" s="206" t="s">
        <v>48</v>
      </c>
      <c r="C51" s="180" t="s">
        <v>39</v>
      </c>
      <c r="D51" s="208"/>
      <c r="E51" s="53"/>
      <c r="F51" s="49"/>
      <c r="G51" s="55"/>
      <c r="H51" s="82" t="s">
        <v>48</v>
      </c>
      <c r="I51" s="180" t="s">
        <v>25</v>
      </c>
      <c r="J51" s="84"/>
      <c r="K51" s="56"/>
      <c r="L51" s="49"/>
      <c r="M51" s="60"/>
      <c r="N51" s="179"/>
      <c r="O51" s="179"/>
      <c r="P51" s="179"/>
      <c r="Q51" s="61"/>
      <c r="R51" s="49"/>
      <c r="S51" s="49"/>
      <c r="T51" s="49"/>
      <c r="U51" s="49"/>
      <c r="V51" s="49"/>
      <c r="W51" s="49"/>
      <c r="X51" s="49"/>
      <c r="Y51" s="49"/>
    </row>
    <row r="52" spans="1:25" ht="15.75" customHeight="1">
      <c r="A52" s="50"/>
      <c r="B52" s="206" t="s">
        <v>49</v>
      </c>
      <c r="C52" s="181">
        <v>45699</v>
      </c>
      <c r="D52" s="208"/>
      <c r="E52" s="53"/>
      <c r="F52" s="49"/>
      <c r="G52" s="55"/>
      <c r="H52" s="82" t="s">
        <v>49</v>
      </c>
      <c r="I52" s="181">
        <v>45688</v>
      </c>
      <c r="J52" s="84"/>
      <c r="K52" s="56"/>
      <c r="L52" s="49"/>
      <c r="M52" s="60"/>
      <c r="N52" s="179"/>
      <c r="O52" s="179"/>
      <c r="P52" s="179"/>
      <c r="Q52" s="61"/>
      <c r="R52" s="49"/>
      <c r="S52" s="49"/>
      <c r="T52" s="49"/>
      <c r="U52" s="49"/>
      <c r="V52" s="49"/>
      <c r="W52" s="49"/>
      <c r="X52" s="49"/>
      <c r="Y52" s="49"/>
    </row>
    <row r="53" spans="1:25" ht="15.75" customHeight="1" thickBot="1">
      <c r="A53" s="50"/>
      <c r="B53" s="209" t="s">
        <v>50</v>
      </c>
      <c r="C53" s="210">
        <v>45702</v>
      </c>
      <c r="D53" s="211"/>
      <c r="E53" s="53"/>
      <c r="F53" s="49"/>
      <c r="G53" s="55"/>
      <c r="H53" s="85" t="s">
        <v>50</v>
      </c>
      <c r="I53" s="86">
        <v>45688</v>
      </c>
      <c r="J53" s="87"/>
      <c r="K53" s="56"/>
      <c r="L53" s="49"/>
      <c r="M53" s="60"/>
      <c r="N53" s="179"/>
      <c r="O53" s="179"/>
      <c r="P53" s="179"/>
      <c r="Q53" s="61"/>
      <c r="R53" s="49"/>
      <c r="S53" s="49"/>
      <c r="T53" s="49"/>
      <c r="U53" s="49"/>
      <c r="V53" s="49"/>
      <c r="W53" s="49"/>
      <c r="X53" s="49"/>
      <c r="Y53" s="49"/>
    </row>
    <row r="54" spans="1:25" ht="15.75" customHeight="1" thickTop="1" thickBot="1">
      <c r="A54" s="50"/>
      <c r="B54" s="177"/>
      <c r="C54" s="177"/>
      <c r="D54" s="177"/>
      <c r="E54" s="53"/>
      <c r="F54" s="49"/>
      <c r="G54" s="55"/>
      <c r="H54" s="178"/>
      <c r="I54" s="178"/>
      <c r="J54" s="178"/>
      <c r="K54" s="56"/>
      <c r="L54" s="49"/>
      <c r="M54" s="60"/>
      <c r="N54" s="179"/>
      <c r="O54" s="179"/>
      <c r="P54" s="179"/>
      <c r="Q54" s="61"/>
      <c r="R54" s="49"/>
      <c r="S54" s="49"/>
      <c r="T54" s="49"/>
      <c r="U54" s="49"/>
      <c r="V54" s="49"/>
      <c r="W54" s="49"/>
      <c r="X54" s="49"/>
      <c r="Y54" s="49"/>
    </row>
    <row r="55" spans="1:25" ht="15.75" customHeight="1" thickTop="1">
      <c r="A55" s="50"/>
      <c r="B55" s="547" t="s">
        <v>171</v>
      </c>
      <c r="C55" s="548"/>
      <c r="D55" s="549"/>
      <c r="E55" s="53"/>
      <c r="F55" s="49"/>
      <c r="G55" s="55"/>
      <c r="H55" s="560" t="s">
        <v>147</v>
      </c>
      <c r="I55" s="561"/>
      <c r="J55" s="512"/>
      <c r="K55" s="56"/>
      <c r="L55" s="49"/>
      <c r="M55" s="60"/>
      <c r="N55" s="179"/>
      <c r="O55" s="179"/>
      <c r="P55" s="179"/>
      <c r="Q55" s="61"/>
      <c r="R55" s="49"/>
      <c r="S55" s="49"/>
      <c r="T55" s="49"/>
      <c r="U55" s="49"/>
      <c r="V55" s="49"/>
      <c r="W55" s="49"/>
      <c r="X55" s="49"/>
      <c r="Y55" s="49"/>
    </row>
    <row r="56" spans="1:25" ht="15.75" customHeight="1">
      <c r="A56" s="50"/>
      <c r="B56" s="296" t="s">
        <v>106</v>
      </c>
      <c r="C56" s="180" t="s">
        <v>27</v>
      </c>
      <c r="D56" s="297"/>
      <c r="E56" s="53"/>
      <c r="F56" s="49"/>
      <c r="G56" s="55"/>
      <c r="H56" s="82" t="s">
        <v>106</v>
      </c>
      <c r="I56" s="180" t="s">
        <v>210</v>
      </c>
      <c r="J56" s="83"/>
      <c r="K56" s="56"/>
      <c r="L56" s="49"/>
      <c r="M56" s="60"/>
      <c r="N56" s="179"/>
      <c r="O56" s="179"/>
      <c r="P56" s="179"/>
      <c r="Q56" s="61"/>
      <c r="R56" s="49"/>
      <c r="S56" s="49"/>
      <c r="T56" s="49"/>
      <c r="U56" s="49"/>
      <c r="V56" s="49"/>
      <c r="W56" s="49"/>
      <c r="X56" s="49"/>
      <c r="Y56" s="49"/>
    </row>
    <row r="57" spans="1:25" ht="15.75" customHeight="1">
      <c r="A57" s="50"/>
      <c r="B57" s="296" t="s">
        <v>108</v>
      </c>
      <c r="C57" s="180" t="s">
        <v>99</v>
      </c>
      <c r="D57" s="297"/>
      <c r="E57" s="53"/>
      <c r="F57" s="49"/>
      <c r="G57" s="55"/>
      <c r="H57" s="82" t="s">
        <v>108</v>
      </c>
      <c r="I57" s="180" t="s">
        <v>99</v>
      </c>
      <c r="J57" s="83"/>
      <c r="K57" s="56"/>
      <c r="L57" s="49"/>
      <c r="M57" s="60"/>
      <c r="N57" s="179"/>
      <c r="O57" s="179"/>
      <c r="P57" s="179"/>
      <c r="Q57" s="61"/>
      <c r="R57" s="49"/>
      <c r="S57" s="49"/>
      <c r="T57" s="49"/>
      <c r="U57" s="49"/>
      <c r="V57" s="49"/>
      <c r="W57" s="49"/>
      <c r="X57" s="49"/>
      <c r="Y57" s="49"/>
    </row>
    <row r="58" spans="1:25" ht="15.75" customHeight="1">
      <c r="A58" s="50"/>
      <c r="B58" s="296" t="s">
        <v>48</v>
      </c>
      <c r="C58" s="180" t="s">
        <v>25</v>
      </c>
      <c r="D58" s="298"/>
      <c r="E58" s="53"/>
      <c r="F58" s="49"/>
      <c r="G58" s="55"/>
      <c r="H58" s="82" t="s">
        <v>48</v>
      </c>
      <c r="I58" s="180" t="s">
        <v>102</v>
      </c>
      <c r="J58" s="84"/>
      <c r="K58" s="56"/>
      <c r="L58" s="49"/>
      <c r="M58" s="60"/>
      <c r="N58" s="179"/>
      <c r="O58" s="179"/>
      <c r="P58" s="179"/>
      <c r="Q58" s="61"/>
      <c r="R58" s="49"/>
      <c r="S58" s="49"/>
      <c r="T58" s="49"/>
      <c r="U58" s="49"/>
      <c r="V58" s="49"/>
      <c r="W58" s="49"/>
      <c r="X58" s="49"/>
      <c r="Y58" s="49"/>
    </row>
    <row r="59" spans="1:25" ht="15.75" customHeight="1">
      <c r="A59" s="50"/>
      <c r="B59" s="296" t="s">
        <v>49</v>
      </c>
      <c r="C59" s="181">
        <v>45702</v>
      </c>
      <c r="D59" s="298"/>
      <c r="E59" s="53"/>
      <c r="F59" s="49"/>
      <c r="G59" s="55"/>
      <c r="H59" s="82" t="s">
        <v>49</v>
      </c>
      <c r="I59" s="181">
        <v>45686</v>
      </c>
      <c r="J59" s="84"/>
      <c r="K59" s="56"/>
      <c r="L59" s="49"/>
      <c r="M59" s="60"/>
      <c r="N59" s="179"/>
      <c r="O59" s="179"/>
      <c r="P59" s="179"/>
      <c r="Q59" s="61"/>
      <c r="R59" s="49"/>
      <c r="S59" s="49"/>
      <c r="T59" s="49"/>
      <c r="U59" s="49"/>
      <c r="V59" s="49"/>
      <c r="W59" s="49"/>
      <c r="X59" s="49"/>
      <c r="Y59" s="49"/>
    </row>
    <row r="60" spans="1:25" ht="15.75" customHeight="1" thickBot="1">
      <c r="A60" s="50"/>
      <c r="B60" s="299" t="s">
        <v>50</v>
      </c>
      <c r="C60" s="300">
        <v>45702</v>
      </c>
      <c r="D60" s="301"/>
      <c r="E60" s="53"/>
      <c r="F60" s="49"/>
      <c r="G60" s="55"/>
      <c r="H60" s="85" t="s">
        <v>50</v>
      </c>
      <c r="I60" s="86">
        <v>45687</v>
      </c>
      <c r="J60" s="87"/>
      <c r="K60" s="56"/>
      <c r="L60" s="49"/>
      <c r="M60" s="60"/>
      <c r="N60" s="179"/>
      <c r="O60" s="179"/>
      <c r="P60" s="179"/>
      <c r="Q60" s="61"/>
      <c r="R60" s="49"/>
      <c r="S60" s="49"/>
      <c r="T60" s="49"/>
      <c r="U60" s="49"/>
      <c r="V60" s="49"/>
      <c r="W60" s="49"/>
      <c r="X60" s="49"/>
      <c r="Y60" s="49"/>
    </row>
    <row r="61" spans="1:25" ht="15.75" customHeight="1" thickTop="1" thickBot="1">
      <c r="A61" s="50"/>
      <c r="B61" s="177"/>
      <c r="C61" s="177"/>
      <c r="D61" s="177"/>
      <c r="E61" s="53"/>
      <c r="F61" s="49"/>
      <c r="G61" s="55"/>
      <c r="H61" s="178"/>
      <c r="I61" s="178"/>
      <c r="J61" s="178"/>
      <c r="K61" s="56"/>
      <c r="L61" s="49"/>
      <c r="M61" s="60"/>
      <c r="N61" s="179"/>
      <c r="O61" s="179"/>
      <c r="P61" s="179"/>
      <c r="Q61" s="61"/>
      <c r="R61" s="49"/>
      <c r="S61" s="49"/>
      <c r="T61" s="49"/>
      <c r="U61" s="49"/>
      <c r="V61" s="49"/>
      <c r="W61" s="49"/>
      <c r="X61" s="49"/>
      <c r="Y61" s="49"/>
    </row>
    <row r="62" spans="1:25" ht="15.75" customHeight="1" thickTop="1">
      <c r="A62" s="50"/>
      <c r="B62" s="547" t="s">
        <v>171</v>
      </c>
      <c r="C62" s="548"/>
      <c r="D62" s="549"/>
      <c r="E62" s="53"/>
      <c r="F62" s="49"/>
      <c r="G62" s="55"/>
      <c r="H62" s="560" t="s">
        <v>147</v>
      </c>
      <c r="I62" s="561"/>
      <c r="J62" s="512"/>
      <c r="K62" s="56"/>
      <c r="L62" s="49"/>
      <c r="M62" s="60"/>
      <c r="N62" s="179"/>
      <c r="O62" s="179"/>
      <c r="P62" s="179"/>
      <c r="Q62" s="61"/>
      <c r="R62" s="49"/>
      <c r="S62" s="49"/>
      <c r="T62" s="49"/>
      <c r="U62" s="49"/>
      <c r="V62" s="49"/>
      <c r="W62" s="49"/>
      <c r="X62" s="49"/>
      <c r="Y62" s="49"/>
    </row>
    <row r="63" spans="1:25" ht="15.75" customHeight="1">
      <c r="A63" s="50"/>
      <c r="B63" s="296" t="s">
        <v>106</v>
      </c>
      <c r="C63" s="180" t="s">
        <v>210</v>
      </c>
      <c r="D63" s="297"/>
      <c r="E63" s="53"/>
      <c r="F63" s="49"/>
      <c r="G63" s="55"/>
      <c r="H63" s="82" t="s">
        <v>106</v>
      </c>
      <c r="I63" s="180" t="s">
        <v>214</v>
      </c>
      <c r="J63" s="83"/>
      <c r="K63" s="56"/>
      <c r="L63" s="49"/>
      <c r="M63" s="60"/>
      <c r="N63" s="179"/>
      <c r="O63" s="179"/>
      <c r="P63" s="179"/>
      <c r="Q63" s="61"/>
      <c r="R63" s="49"/>
      <c r="S63" s="49"/>
      <c r="T63" s="49"/>
      <c r="U63" s="49"/>
      <c r="V63" s="49"/>
      <c r="W63" s="49"/>
      <c r="X63" s="49"/>
      <c r="Y63" s="49"/>
    </row>
    <row r="64" spans="1:25" ht="15.75" customHeight="1">
      <c r="A64" s="50"/>
      <c r="B64" s="296" t="s">
        <v>108</v>
      </c>
      <c r="C64" s="180" t="s">
        <v>99</v>
      </c>
      <c r="D64" s="297"/>
      <c r="E64" s="53"/>
      <c r="F64" s="49"/>
      <c r="G64" s="55"/>
      <c r="H64" s="82" t="s">
        <v>108</v>
      </c>
      <c r="I64" s="180" t="s">
        <v>99</v>
      </c>
      <c r="J64" s="83"/>
      <c r="K64" s="56"/>
      <c r="L64" s="49"/>
      <c r="M64" s="60"/>
      <c r="N64" s="179"/>
      <c r="O64" s="179"/>
      <c r="P64" s="179"/>
      <c r="Q64" s="61"/>
      <c r="R64" s="49"/>
      <c r="S64" s="49"/>
      <c r="T64" s="49"/>
      <c r="U64" s="49"/>
      <c r="V64" s="49"/>
      <c r="W64" s="49"/>
      <c r="X64" s="49"/>
      <c r="Y64" s="49"/>
    </row>
    <row r="65" spans="1:25" ht="15.75" customHeight="1">
      <c r="A65" s="50"/>
      <c r="B65" s="296" t="s">
        <v>48</v>
      </c>
      <c r="C65" s="180" t="s">
        <v>102</v>
      </c>
      <c r="D65" s="298"/>
      <c r="E65" s="53"/>
      <c r="F65" s="49"/>
      <c r="G65" s="55"/>
      <c r="H65" s="82" t="s">
        <v>48</v>
      </c>
      <c r="I65" s="180" t="s">
        <v>39</v>
      </c>
      <c r="J65" s="84"/>
      <c r="K65" s="56"/>
      <c r="L65" s="49"/>
      <c r="M65" s="60"/>
      <c r="N65" s="179"/>
      <c r="O65" s="179"/>
      <c r="P65" s="179"/>
      <c r="Q65" s="61"/>
      <c r="R65" s="49"/>
      <c r="S65" s="49"/>
      <c r="T65" s="49"/>
      <c r="U65" s="49"/>
      <c r="V65" s="49"/>
      <c r="W65" s="49"/>
      <c r="X65" s="49"/>
      <c r="Y65" s="49"/>
    </row>
    <row r="66" spans="1:25" ht="15.75" customHeight="1">
      <c r="A66" s="50"/>
      <c r="B66" s="296" t="s">
        <v>49</v>
      </c>
      <c r="C66" s="181">
        <v>45698</v>
      </c>
      <c r="D66" s="298"/>
      <c r="E66" s="53"/>
      <c r="F66" s="49"/>
      <c r="G66" s="55"/>
      <c r="H66" s="82" t="s">
        <v>49</v>
      </c>
      <c r="I66" s="181">
        <v>45688</v>
      </c>
      <c r="J66" s="84"/>
      <c r="K66" s="56"/>
      <c r="L66" s="49"/>
      <c r="M66" s="60"/>
      <c r="N66" s="179"/>
      <c r="O66" s="179"/>
      <c r="P66" s="179"/>
      <c r="Q66" s="61"/>
      <c r="R66" s="49"/>
      <c r="S66" s="49"/>
      <c r="T66" s="49"/>
      <c r="U66" s="49"/>
      <c r="V66" s="49"/>
      <c r="W66" s="49"/>
      <c r="X66" s="49"/>
      <c r="Y66" s="49"/>
    </row>
    <row r="67" spans="1:25" ht="15.75" customHeight="1" thickBot="1">
      <c r="A67" s="50"/>
      <c r="B67" s="299" t="s">
        <v>50</v>
      </c>
      <c r="C67" s="300">
        <v>45699</v>
      </c>
      <c r="D67" s="301"/>
      <c r="E67" s="53"/>
      <c r="F67" s="49"/>
      <c r="G67" s="55"/>
      <c r="H67" s="85" t="s">
        <v>50</v>
      </c>
      <c r="I67" s="86">
        <v>45694</v>
      </c>
      <c r="J67" s="87"/>
      <c r="K67" s="56"/>
      <c r="L67" s="49"/>
      <c r="M67" s="60"/>
      <c r="N67" s="179"/>
      <c r="O67" s="179"/>
      <c r="P67" s="179"/>
      <c r="Q67" s="61"/>
      <c r="R67" s="49"/>
      <c r="S67" s="49"/>
      <c r="T67" s="49"/>
      <c r="U67" s="49"/>
      <c r="V67" s="49"/>
      <c r="W67" s="49"/>
      <c r="X67" s="49"/>
      <c r="Y67" s="49"/>
    </row>
    <row r="68" spans="1:25" ht="15.75" customHeight="1" thickTop="1" thickBot="1">
      <c r="A68" s="50"/>
      <c r="B68" s="177"/>
      <c r="C68" s="177"/>
      <c r="D68" s="177"/>
      <c r="E68" s="53"/>
      <c r="F68" s="49"/>
      <c r="G68" s="55"/>
      <c r="H68" s="178"/>
      <c r="I68" s="178"/>
      <c r="J68" s="178"/>
      <c r="K68" s="56"/>
      <c r="L68" s="49"/>
      <c r="M68" s="60"/>
      <c r="N68" s="179"/>
      <c r="O68" s="179"/>
      <c r="P68" s="179"/>
      <c r="Q68" s="61"/>
      <c r="R68" s="49"/>
      <c r="S68" s="49"/>
      <c r="T68" s="49"/>
      <c r="U68" s="49"/>
      <c r="V68" s="49"/>
      <c r="W68" s="49"/>
      <c r="X68" s="49"/>
      <c r="Y68" s="49"/>
    </row>
    <row r="69" spans="1:25" ht="15.75" customHeight="1" thickTop="1">
      <c r="A69" s="50"/>
      <c r="B69" s="547" t="s">
        <v>171</v>
      </c>
      <c r="C69" s="548"/>
      <c r="D69" s="549"/>
      <c r="E69" s="53"/>
      <c r="F69" s="49"/>
      <c r="G69" s="55"/>
      <c r="H69" s="578" t="s">
        <v>149</v>
      </c>
      <c r="I69" s="579"/>
      <c r="J69" s="512"/>
      <c r="K69" s="56"/>
      <c r="L69" s="49"/>
      <c r="M69" s="60"/>
      <c r="N69" s="179"/>
      <c r="O69" s="179"/>
      <c r="P69" s="179"/>
      <c r="Q69" s="61"/>
      <c r="R69" s="49"/>
      <c r="S69" s="49"/>
      <c r="T69" s="49"/>
      <c r="U69" s="49"/>
      <c r="V69" s="49"/>
      <c r="W69" s="49"/>
      <c r="X69" s="49"/>
      <c r="Y69" s="49"/>
    </row>
    <row r="70" spans="1:25" ht="15.75" customHeight="1">
      <c r="A70" s="50"/>
      <c r="B70" s="296" t="s">
        <v>106</v>
      </c>
      <c r="C70" s="180" t="s">
        <v>214</v>
      </c>
      <c r="D70" s="297"/>
      <c r="E70" s="53"/>
      <c r="F70" s="49"/>
      <c r="G70" s="55"/>
      <c r="H70" s="82" t="s">
        <v>106</v>
      </c>
      <c r="I70" s="180" t="s">
        <v>27</v>
      </c>
      <c r="J70" s="83"/>
      <c r="K70" s="56"/>
      <c r="L70" s="49"/>
      <c r="M70" s="60"/>
      <c r="N70" s="179"/>
      <c r="O70" s="179"/>
      <c r="P70" s="179"/>
      <c r="Q70" s="61"/>
      <c r="R70" s="49"/>
      <c r="S70" s="49"/>
      <c r="T70" s="49"/>
      <c r="U70" s="49"/>
      <c r="V70" s="49"/>
      <c r="W70" s="49"/>
      <c r="X70" s="49"/>
      <c r="Y70" s="49"/>
    </row>
    <row r="71" spans="1:25" ht="15.75" customHeight="1">
      <c r="A71" s="50"/>
      <c r="B71" s="296" t="s">
        <v>108</v>
      </c>
      <c r="C71" s="180" t="s">
        <v>99</v>
      </c>
      <c r="D71" s="297"/>
      <c r="E71" s="53"/>
      <c r="F71" s="49"/>
      <c r="G71" s="55"/>
      <c r="H71" s="82" t="s">
        <v>108</v>
      </c>
      <c r="I71" s="180" t="s">
        <v>99</v>
      </c>
      <c r="J71" s="83"/>
      <c r="K71" s="56"/>
      <c r="L71" s="49"/>
      <c r="M71" s="60"/>
      <c r="N71" s="179"/>
      <c r="O71" s="179"/>
      <c r="P71" s="179"/>
      <c r="Q71" s="61"/>
      <c r="R71" s="49"/>
      <c r="S71" s="49"/>
      <c r="T71" s="49"/>
      <c r="U71" s="49"/>
      <c r="V71" s="49"/>
      <c r="W71" s="49"/>
      <c r="X71" s="49"/>
      <c r="Y71" s="49"/>
    </row>
    <row r="72" spans="1:25" ht="15.75" customHeight="1">
      <c r="A72" s="50"/>
      <c r="B72" s="296" t="s">
        <v>48</v>
      </c>
      <c r="C72" s="180" t="s">
        <v>39</v>
      </c>
      <c r="D72" s="298"/>
      <c r="E72" s="53"/>
      <c r="F72" s="49"/>
      <c r="G72" s="55"/>
      <c r="H72" s="82" t="s">
        <v>48</v>
      </c>
      <c r="I72" s="180" t="s">
        <v>25</v>
      </c>
      <c r="J72" s="84"/>
      <c r="K72" s="56"/>
      <c r="L72" s="49"/>
      <c r="M72" s="60"/>
      <c r="N72" s="179"/>
      <c r="O72" s="179"/>
      <c r="P72" s="179"/>
      <c r="Q72" s="61"/>
      <c r="R72" s="49"/>
      <c r="S72" s="49"/>
      <c r="T72" s="49"/>
      <c r="U72" s="49"/>
      <c r="V72" s="49"/>
      <c r="W72" s="49"/>
      <c r="X72" s="49"/>
      <c r="Y72" s="49"/>
    </row>
    <row r="73" spans="1:25" ht="15.75" customHeight="1">
      <c r="A73" s="50"/>
      <c r="B73" s="296" t="s">
        <v>49</v>
      </c>
      <c r="C73" s="181">
        <v>45700</v>
      </c>
      <c r="D73" s="298"/>
      <c r="E73" s="53"/>
      <c r="F73" s="49"/>
      <c r="G73" s="55"/>
      <c r="H73" s="82" t="s">
        <v>49</v>
      </c>
      <c r="I73" s="181">
        <v>45691</v>
      </c>
      <c r="J73" s="84"/>
      <c r="K73" s="56"/>
      <c r="L73" s="49"/>
      <c r="M73" s="60"/>
      <c r="N73" s="179"/>
      <c r="O73" s="179"/>
      <c r="P73" s="179"/>
      <c r="Q73" s="61"/>
      <c r="R73" s="49"/>
      <c r="S73" s="49"/>
      <c r="T73" s="49"/>
      <c r="U73" s="49"/>
      <c r="V73" s="49"/>
      <c r="W73" s="49"/>
      <c r="X73" s="49"/>
      <c r="Y73" s="49"/>
    </row>
    <row r="74" spans="1:25" ht="15.75" customHeight="1" thickBot="1">
      <c r="A74" s="50"/>
      <c r="B74" s="299" t="s">
        <v>50</v>
      </c>
      <c r="C74" s="300">
        <v>45705</v>
      </c>
      <c r="D74" s="301"/>
      <c r="E74" s="53"/>
      <c r="F74" s="49"/>
      <c r="G74" s="55"/>
      <c r="H74" s="85" t="s">
        <v>50</v>
      </c>
      <c r="I74" s="86">
        <v>45691</v>
      </c>
      <c r="J74" s="87"/>
      <c r="K74" s="56"/>
      <c r="L74" s="49"/>
      <c r="M74" s="60"/>
      <c r="N74" s="179"/>
      <c r="O74" s="179"/>
      <c r="P74" s="179"/>
      <c r="Q74" s="61"/>
      <c r="R74" s="49"/>
      <c r="S74" s="49"/>
      <c r="T74" s="49"/>
      <c r="U74" s="49"/>
      <c r="V74" s="49"/>
      <c r="W74" s="49"/>
      <c r="X74" s="49"/>
      <c r="Y74" s="49"/>
    </row>
    <row r="75" spans="1:25" ht="15.75" customHeight="1" thickTop="1" thickBot="1">
      <c r="A75" s="50"/>
      <c r="B75" s="177"/>
      <c r="C75" s="177"/>
      <c r="D75" s="177"/>
      <c r="E75" s="53"/>
      <c r="F75" s="49"/>
      <c r="G75" s="55"/>
      <c r="H75" s="178"/>
      <c r="I75" s="178"/>
      <c r="J75" s="178"/>
      <c r="K75" s="56"/>
      <c r="L75" s="49"/>
      <c r="M75" s="60"/>
      <c r="N75" s="179"/>
      <c r="O75" s="179"/>
      <c r="P75" s="179"/>
      <c r="Q75" s="61"/>
      <c r="R75" s="49"/>
      <c r="S75" s="49"/>
      <c r="T75" s="49"/>
      <c r="U75" s="49"/>
      <c r="V75" s="49"/>
      <c r="W75" s="49"/>
      <c r="X75" s="49"/>
      <c r="Y75" s="49"/>
    </row>
    <row r="76" spans="1:25" ht="15.75" customHeight="1" thickTop="1">
      <c r="A76" s="50"/>
      <c r="B76" s="550" t="s">
        <v>173</v>
      </c>
      <c r="C76" s="551"/>
      <c r="D76" s="552"/>
      <c r="E76" s="53"/>
      <c r="F76" s="49"/>
      <c r="G76" s="55"/>
      <c r="H76" s="578" t="s">
        <v>149</v>
      </c>
      <c r="I76" s="579"/>
      <c r="J76" s="512"/>
      <c r="K76" s="56"/>
      <c r="L76" s="49"/>
      <c r="M76" s="60"/>
      <c r="N76" s="179"/>
      <c r="O76" s="179"/>
      <c r="P76" s="179"/>
      <c r="Q76" s="61"/>
      <c r="R76" s="49"/>
      <c r="S76" s="49"/>
      <c r="T76" s="49"/>
      <c r="U76" s="49"/>
      <c r="V76" s="49"/>
      <c r="W76" s="49"/>
      <c r="X76" s="49"/>
      <c r="Y76" s="49"/>
    </row>
    <row r="77" spans="1:25" ht="15.75" customHeight="1">
      <c r="A77" s="50"/>
      <c r="B77" s="212" t="s">
        <v>106</v>
      </c>
      <c r="C77" s="180" t="s">
        <v>27</v>
      </c>
      <c r="D77" s="213"/>
      <c r="E77" s="53"/>
      <c r="F77" s="49"/>
      <c r="G77" s="55"/>
      <c r="H77" s="82" t="s">
        <v>106</v>
      </c>
      <c r="I77" s="180" t="s">
        <v>210</v>
      </c>
      <c r="J77" s="83"/>
      <c r="K77" s="56"/>
      <c r="L77" s="49"/>
      <c r="M77" s="60"/>
      <c r="N77" s="179"/>
      <c r="O77" s="179"/>
      <c r="P77" s="179"/>
      <c r="Q77" s="61"/>
      <c r="R77" s="49"/>
      <c r="S77" s="49"/>
      <c r="T77" s="49"/>
      <c r="U77" s="49"/>
      <c r="V77" s="49"/>
      <c r="W77" s="49"/>
      <c r="X77" s="49"/>
      <c r="Y77" s="49"/>
    </row>
    <row r="78" spans="1:25" ht="15.75" customHeight="1">
      <c r="A78" s="50"/>
      <c r="B78" s="212" t="s">
        <v>108</v>
      </c>
      <c r="C78" s="180" t="s">
        <v>99</v>
      </c>
      <c r="D78" s="213"/>
      <c r="E78" s="53"/>
      <c r="F78" s="49"/>
      <c r="G78" s="55"/>
      <c r="H78" s="82" t="s">
        <v>108</v>
      </c>
      <c r="I78" s="180" t="s">
        <v>99</v>
      </c>
      <c r="J78" s="83"/>
      <c r="K78" s="56"/>
      <c r="L78" s="49"/>
      <c r="M78" s="60"/>
      <c r="N78" s="179"/>
      <c r="O78" s="179"/>
      <c r="P78" s="179"/>
      <c r="Q78" s="61"/>
      <c r="R78" s="49"/>
      <c r="S78" s="49"/>
      <c r="T78" s="49"/>
      <c r="U78" s="49"/>
      <c r="V78" s="49"/>
      <c r="W78" s="49"/>
      <c r="X78" s="49"/>
      <c r="Y78" s="49"/>
    </row>
    <row r="79" spans="1:25" ht="15.75" customHeight="1">
      <c r="A79" s="50"/>
      <c r="B79" s="212" t="s">
        <v>48</v>
      </c>
      <c r="C79" s="180" t="s">
        <v>25</v>
      </c>
      <c r="D79" s="214"/>
      <c r="E79" s="53"/>
      <c r="F79" s="49"/>
      <c r="G79" s="55"/>
      <c r="H79" s="82" t="s">
        <v>48</v>
      </c>
      <c r="I79" s="180" t="s">
        <v>102</v>
      </c>
      <c r="J79" s="84"/>
      <c r="K79" s="56"/>
      <c r="L79" s="49"/>
      <c r="M79" s="60"/>
      <c r="N79" s="179"/>
      <c r="O79" s="179"/>
      <c r="P79" s="179"/>
      <c r="Q79" s="61"/>
      <c r="R79" s="49"/>
      <c r="S79" s="49"/>
      <c r="T79" s="49"/>
      <c r="U79" s="49"/>
      <c r="V79" s="49"/>
      <c r="W79" s="49"/>
      <c r="X79" s="49"/>
      <c r="Y79" s="49"/>
    </row>
    <row r="80" spans="1:25" ht="15.75" customHeight="1">
      <c r="A80" s="50"/>
      <c r="B80" s="212" t="s">
        <v>49</v>
      </c>
      <c r="C80" s="181">
        <v>45705</v>
      </c>
      <c r="D80" s="214"/>
      <c r="E80" s="53"/>
      <c r="F80" s="49"/>
      <c r="G80" s="55"/>
      <c r="H80" s="82" t="s">
        <v>49</v>
      </c>
      <c r="I80" s="181">
        <v>45688</v>
      </c>
      <c r="J80" s="84"/>
      <c r="K80" s="56"/>
      <c r="L80" s="49"/>
      <c r="M80" s="60"/>
      <c r="N80" s="179"/>
      <c r="O80" s="179"/>
      <c r="P80" s="179"/>
      <c r="Q80" s="61"/>
      <c r="R80" s="49"/>
      <c r="S80" s="49"/>
      <c r="T80" s="49"/>
      <c r="U80" s="49"/>
      <c r="V80" s="49"/>
      <c r="W80" s="49"/>
      <c r="X80" s="49"/>
      <c r="Y80" s="49"/>
    </row>
    <row r="81" spans="1:25" ht="15.75" customHeight="1" thickBot="1">
      <c r="A81" s="50"/>
      <c r="B81" s="215" t="s">
        <v>50</v>
      </c>
      <c r="C81" s="216">
        <v>45705</v>
      </c>
      <c r="D81" s="217"/>
      <c r="E81" s="53"/>
      <c r="F81" s="49"/>
      <c r="G81" s="55"/>
      <c r="H81" s="85" t="s">
        <v>50</v>
      </c>
      <c r="I81" s="86">
        <v>45691</v>
      </c>
      <c r="J81" s="87"/>
      <c r="K81" s="56"/>
      <c r="L81" s="49"/>
      <c r="M81" s="60"/>
      <c r="N81" s="179"/>
      <c r="O81" s="179"/>
      <c r="P81" s="179"/>
      <c r="Q81" s="61"/>
      <c r="R81" s="49"/>
      <c r="S81" s="49"/>
      <c r="T81" s="49"/>
      <c r="U81" s="49"/>
      <c r="V81" s="49"/>
      <c r="W81" s="49"/>
      <c r="X81" s="49"/>
      <c r="Y81" s="49"/>
    </row>
    <row r="82" spans="1:25" ht="15.75" customHeight="1" thickTop="1">
      <c r="A82" s="50"/>
      <c r="B82" s="177"/>
      <c r="C82" s="177"/>
      <c r="D82" s="177"/>
      <c r="E82" s="53"/>
      <c r="F82" s="49"/>
      <c r="G82" s="55"/>
      <c r="H82" s="178"/>
      <c r="I82" s="178"/>
      <c r="J82" s="178"/>
      <c r="K82" s="56"/>
      <c r="L82" s="49"/>
      <c r="M82" s="60"/>
      <c r="N82" s="179"/>
      <c r="O82" s="179"/>
      <c r="P82" s="179"/>
      <c r="Q82" s="61"/>
      <c r="R82" s="49"/>
      <c r="S82" s="49"/>
      <c r="T82" s="49"/>
      <c r="U82" s="49"/>
      <c r="V82" s="49"/>
      <c r="W82" s="49"/>
      <c r="X82" s="49"/>
      <c r="Y82" s="49"/>
    </row>
    <row r="83" spans="1:25" ht="15.75" customHeight="1">
      <c r="A83" s="50"/>
      <c r="B83" s="550" t="s">
        <v>173</v>
      </c>
      <c r="C83" s="551"/>
      <c r="D83" s="552"/>
      <c r="E83" s="53"/>
      <c r="F83" s="49"/>
      <c r="G83" s="55"/>
      <c r="H83" s="495" t="s">
        <v>149</v>
      </c>
      <c r="I83" s="496"/>
      <c r="J83" s="497"/>
      <c r="K83" s="56"/>
      <c r="L83" s="49"/>
      <c r="M83" s="60"/>
      <c r="N83" s="179"/>
      <c r="O83" s="179"/>
      <c r="P83" s="179"/>
      <c r="Q83" s="61"/>
      <c r="R83" s="49"/>
      <c r="S83" s="49"/>
      <c r="T83" s="49"/>
      <c r="U83" s="49"/>
      <c r="V83" s="49"/>
      <c r="W83" s="49"/>
      <c r="X83" s="49"/>
      <c r="Y83" s="49"/>
    </row>
    <row r="84" spans="1:25" ht="15.75" customHeight="1">
      <c r="A84" s="50"/>
      <c r="B84" s="212" t="s">
        <v>106</v>
      </c>
      <c r="C84" s="180" t="s">
        <v>210</v>
      </c>
      <c r="D84" s="213"/>
      <c r="E84" s="53"/>
      <c r="F84" s="49"/>
      <c r="G84" s="55"/>
      <c r="H84" s="90" t="s">
        <v>106</v>
      </c>
      <c r="I84" s="180" t="s">
        <v>214</v>
      </c>
      <c r="J84" s="91"/>
      <c r="K84" s="56"/>
      <c r="L84" s="49"/>
      <c r="M84" s="60"/>
      <c r="N84" s="179"/>
      <c r="O84" s="179"/>
      <c r="P84" s="179"/>
      <c r="Q84" s="61"/>
      <c r="R84" s="49"/>
      <c r="S84" s="49"/>
      <c r="T84" s="49"/>
      <c r="U84" s="49"/>
      <c r="V84" s="49"/>
      <c r="W84" s="49"/>
      <c r="X84" s="49"/>
      <c r="Y84" s="49"/>
    </row>
    <row r="85" spans="1:25" ht="15.75" customHeight="1">
      <c r="A85" s="50"/>
      <c r="B85" s="212" t="s">
        <v>108</v>
      </c>
      <c r="C85" s="180" t="s">
        <v>99</v>
      </c>
      <c r="D85" s="213"/>
      <c r="E85" s="53"/>
      <c r="F85" s="49"/>
      <c r="G85" s="55"/>
      <c r="H85" s="90" t="s">
        <v>108</v>
      </c>
      <c r="I85" s="180" t="s">
        <v>99</v>
      </c>
      <c r="J85" s="91"/>
      <c r="K85" s="56"/>
      <c r="L85" s="49"/>
      <c r="M85" s="60"/>
      <c r="N85" s="179"/>
      <c r="O85" s="179"/>
      <c r="P85" s="179"/>
      <c r="Q85" s="61"/>
      <c r="R85" s="49"/>
      <c r="S85" s="49"/>
      <c r="T85" s="49"/>
      <c r="U85" s="49"/>
      <c r="V85" s="49"/>
      <c r="W85" s="49"/>
      <c r="X85" s="49"/>
      <c r="Y85" s="49"/>
    </row>
    <row r="86" spans="1:25" ht="15.75" customHeight="1">
      <c r="A86" s="50"/>
      <c r="B86" s="212" t="s">
        <v>48</v>
      </c>
      <c r="C86" s="180" t="s">
        <v>102</v>
      </c>
      <c r="D86" s="214"/>
      <c r="E86" s="53"/>
      <c r="F86" s="49"/>
      <c r="G86" s="55"/>
      <c r="H86" s="90" t="s">
        <v>48</v>
      </c>
      <c r="I86" s="180" t="s">
        <v>39</v>
      </c>
      <c r="J86" s="92"/>
      <c r="K86" s="56"/>
      <c r="L86" s="49"/>
      <c r="M86" s="60"/>
      <c r="N86" s="179"/>
      <c r="O86" s="179"/>
      <c r="P86" s="179"/>
      <c r="Q86" s="61"/>
      <c r="R86" s="49"/>
      <c r="S86" s="49"/>
      <c r="T86" s="49"/>
      <c r="U86" s="49"/>
      <c r="V86" s="49"/>
      <c r="W86" s="49"/>
      <c r="X86" s="49"/>
      <c r="Y86" s="49"/>
    </row>
    <row r="87" spans="1:25" ht="15.75" customHeight="1">
      <c r="A87" s="50"/>
      <c r="B87" s="212" t="s">
        <v>49</v>
      </c>
      <c r="C87" s="181">
        <v>45698</v>
      </c>
      <c r="D87" s="214"/>
      <c r="E87" s="53"/>
      <c r="F87" s="49"/>
      <c r="G87" s="55"/>
      <c r="H87" s="90" t="s">
        <v>49</v>
      </c>
      <c r="I87" s="181">
        <v>45692</v>
      </c>
      <c r="J87" s="92"/>
      <c r="K87" s="56"/>
      <c r="L87" s="49"/>
      <c r="M87" s="60"/>
      <c r="N87" s="179"/>
      <c r="O87" s="179"/>
      <c r="P87" s="179"/>
      <c r="Q87" s="61"/>
      <c r="R87" s="49"/>
      <c r="S87" s="49"/>
      <c r="T87" s="49"/>
      <c r="U87" s="49"/>
      <c r="V87" s="49"/>
      <c r="W87" s="49"/>
      <c r="X87" s="49"/>
      <c r="Y87" s="49"/>
    </row>
    <row r="88" spans="1:25" ht="15.75" customHeight="1">
      <c r="A88" s="50"/>
      <c r="B88" s="215" t="s">
        <v>50</v>
      </c>
      <c r="C88" s="216">
        <v>45699</v>
      </c>
      <c r="D88" s="217"/>
      <c r="E88" s="53"/>
      <c r="F88" s="49"/>
      <c r="G88" s="55"/>
      <c r="H88" s="93" t="s">
        <v>50</v>
      </c>
      <c r="I88" s="94">
        <v>45698</v>
      </c>
      <c r="J88" s="95"/>
      <c r="K88" s="56"/>
      <c r="L88" s="49"/>
      <c r="M88" s="60"/>
      <c r="N88" s="179"/>
      <c r="O88" s="179"/>
      <c r="P88" s="179"/>
      <c r="Q88" s="61"/>
      <c r="R88" s="49"/>
      <c r="S88" s="49"/>
      <c r="T88" s="49"/>
      <c r="U88" s="49"/>
      <c r="V88" s="49"/>
      <c r="W88" s="49"/>
      <c r="X88" s="49"/>
      <c r="Y88" s="49"/>
    </row>
    <row r="89" spans="1:25" ht="15.75" customHeight="1" thickBot="1">
      <c r="A89" s="50"/>
      <c r="B89" s="177"/>
      <c r="C89" s="177"/>
      <c r="D89" s="177"/>
      <c r="E89" s="53"/>
      <c r="F89" s="49"/>
      <c r="G89" s="55"/>
      <c r="H89" s="178"/>
      <c r="I89" s="178"/>
      <c r="J89" s="178"/>
      <c r="K89" s="56"/>
      <c r="L89" s="49"/>
      <c r="M89" s="60"/>
      <c r="N89" s="179"/>
      <c r="O89" s="179"/>
      <c r="P89" s="179"/>
      <c r="Q89" s="61"/>
      <c r="R89" s="49"/>
      <c r="S89" s="49"/>
      <c r="T89" s="49"/>
      <c r="U89" s="49"/>
      <c r="V89" s="49"/>
      <c r="W89" s="49"/>
      <c r="X89" s="49"/>
      <c r="Y89" s="49"/>
    </row>
    <row r="90" spans="1:25" ht="15.75" customHeight="1" thickTop="1">
      <c r="A90" s="50"/>
      <c r="B90" s="550" t="s">
        <v>173</v>
      </c>
      <c r="C90" s="551"/>
      <c r="D90" s="552"/>
      <c r="E90" s="53"/>
      <c r="F90" s="49"/>
      <c r="G90" s="55"/>
      <c r="H90" s="580" t="s">
        <v>152</v>
      </c>
      <c r="I90" s="581"/>
      <c r="J90" s="512"/>
      <c r="K90" s="56"/>
      <c r="L90" s="49"/>
      <c r="M90" s="60"/>
      <c r="N90" s="179"/>
      <c r="O90" s="179"/>
      <c r="P90" s="179"/>
      <c r="Q90" s="61"/>
      <c r="R90" s="49"/>
      <c r="S90" s="49"/>
      <c r="T90" s="49"/>
      <c r="U90" s="49"/>
      <c r="V90" s="49"/>
      <c r="W90" s="49"/>
      <c r="X90" s="49"/>
      <c r="Y90" s="49"/>
    </row>
    <row r="91" spans="1:25" ht="15.75" customHeight="1">
      <c r="A91" s="50"/>
      <c r="B91" s="212" t="s">
        <v>106</v>
      </c>
      <c r="C91" s="180" t="s">
        <v>214</v>
      </c>
      <c r="D91" s="213"/>
      <c r="E91" s="53"/>
      <c r="F91" s="49"/>
      <c r="G91" s="55"/>
      <c r="H91" s="82" t="s">
        <v>106</v>
      </c>
      <c r="I91" s="180" t="s">
        <v>27</v>
      </c>
      <c r="J91" s="83"/>
      <c r="K91" s="56"/>
      <c r="L91" s="49"/>
      <c r="M91" s="60"/>
      <c r="N91" s="179"/>
      <c r="O91" s="179"/>
      <c r="P91" s="179"/>
      <c r="Q91" s="61"/>
      <c r="R91" s="49"/>
      <c r="S91" s="49"/>
      <c r="T91" s="49"/>
      <c r="U91" s="49"/>
      <c r="V91" s="49"/>
      <c r="W91" s="49"/>
      <c r="X91" s="49"/>
      <c r="Y91" s="49"/>
    </row>
    <row r="92" spans="1:25" ht="15.75" customHeight="1">
      <c r="A92" s="50"/>
      <c r="B92" s="212" t="s">
        <v>108</v>
      </c>
      <c r="C92" s="180" t="s">
        <v>99</v>
      </c>
      <c r="D92" s="213"/>
      <c r="E92" s="53"/>
      <c r="F92" s="49"/>
      <c r="G92" s="55"/>
      <c r="H92" s="82" t="s">
        <v>108</v>
      </c>
      <c r="I92" s="180" t="s">
        <v>99</v>
      </c>
      <c r="J92" s="83"/>
      <c r="K92" s="56"/>
      <c r="L92" s="49"/>
      <c r="M92" s="60"/>
      <c r="N92" s="179"/>
      <c r="O92" s="179"/>
      <c r="P92" s="179"/>
      <c r="Q92" s="61"/>
      <c r="R92" s="49"/>
      <c r="S92" s="49"/>
      <c r="T92" s="49"/>
      <c r="U92" s="49"/>
      <c r="V92" s="49"/>
      <c r="W92" s="49"/>
      <c r="X92" s="49"/>
      <c r="Y92" s="49"/>
    </row>
    <row r="93" spans="1:25" ht="15.75" customHeight="1">
      <c r="A93" s="50"/>
      <c r="B93" s="212" t="s">
        <v>48</v>
      </c>
      <c r="C93" s="180" t="s">
        <v>39</v>
      </c>
      <c r="D93" s="214"/>
      <c r="E93" s="53"/>
      <c r="F93" s="49"/>
      <c r="G93" s="55"/>
      <c r="H93" s="82" t="s">
        <v>48</v>
      </c>
      <c r="I93" s="180" t="s">
        <v>25</v>
      </c>
      <c r="J93" s="84"/>
      <c r="K93" s="56"/>
      <c r="L93" s="49"/>
      <c r="M93" s="60"/>
      <c r="N93" s="179"/>
      <c r="O93" s="179"/>
      <c r="P93" s="179"/>
      <c r="Q93" s="61"/>
      <c r="R93" s="49"/>
      <c r="S93" s="49"/>
      <c r="T93" s="49"/>
      <c r="U93" s="49"/>
      <c r="V93" s="49"/>
      <c r="W93" s="49"/>
      <c r="X93" s="49"/>
      <c r="Y93" s="49"/>
    </row>
    <row r="94" spans="1:25" ht="15.75" customHeight="1">
      <c r="A94" s="50"/>
      <c r="B94" s="212" t="s">
        <v>49</v>
      </c>
      <c r="C94" s="181">
        <v>45700</v>
      </c>
      <c r="D94" s="214"/>
      <c r="E94" s="53"/>
      <c r="F94" s="49"/>
      <c r="G94" s="55"/>
      <c r="H94" s="82" t="s">
        <v>49</v>
      </c>
      <c r="I94" s="181">
        <v>45692</v>
      </c>
      <c r="J94" s="84"/>
      <c r="K94" s="56"/>
      <c r="L94" s="49"/>
      <c r="M94" s="60"/>
      <c r="N94" s="179"/>
      <c r="O94" s="179"/>
      <c r="P94" s="179"/>
      <c r="Q94" s="61"/>
      <c r="R94" s="49"/>
      <c r="S94" s="49"/>
      <c r="T94" s="49"/>
      <c r="U94" s="49"/>
      <c r="V94" s="49"/>
      <c r="W94" s="49"/>
      <c r="X94" s="49"/>
      <c r="Y94" s="49"/>
    </row>
    <row r="95" spans="1:25" ht="15.75" customHeight="1" thickBot="1">
      <c r="A95" s="50"/>
      <c r="B95" s="215" t="s">
        <v>50</v>
      </c>
      <c r="C95" s="216">
        <v>45705</v>
      </c>
      <c r="D95" s="217"/>
      <c r="E95" s="53"/>
      <c r="F95" s="49"/>
      <c r="G95" s="55"/>
      <c r="H95" s="85" t="s">
        <v>50</v>
      </c>
      <c r="I95" s="86">
        <v>45692</v>
      </c>
      <c r="J95" s="87"/>
      <c r="K95" s="56"/>
      <c r="L95" s="49"/>
      <c r="M95" s="60"/>
      <c r="N95" s="179"/>
      <c r="O95" s="179"/>
      <c r="P95" s="179"/>
      <c r="Q95" s="61"/>
      <c r="R95" s="49"/>
      <c r="S95" s="49"/>
      <c r="T95" s="49"/>
      <c r="U95" s="49"/>
      <c r="V95" s="49"/>
      <c r="W95" s="49"/>
      <c r="X95" s="49"/>
      <c r="Y95" s="49"/>
    </row>
    <row r="96" spans="1:25" ht="15.75" customHeight="1" thickTop="1" thickBot="1">
      <c r="A96" s="50"/>
      <c r="B96" s="177"/>
      <c r="C96" s="177"/>
      <c r="D96" s="177"/>
      <c r="E96" s="53"/>
      <c r="F96" s="49"/>
      <c r="G96" s="55"/>
      <c r="H96" s="178"/>
      <c r="I96" s="178"/>
      <c r="J96" s="178"/>
      <c r="K96" s="56"/>
      <c r="L96" s="49"/>
      <c r="M96" s="60"/>
      <c r="N96" s="179"/>
      <c r="O96" s="179"/>
      <c r="P96" s="179"/>
      <c r="Q96" s="61"/>
      <c r="R96" s="49"/>
      <c r="S96" s="49"/>
      <c r="T96" s="49"/>
      <c r="U96" s="49"/>
      <c r="V96" s="49"/>
      <c r="W96" s="49"/>
      <c r="X96" s="49"/>
      <c r="Y96" s="49"/>
    </row>
    <row r="97" spans="1:25" ht="15.75" thickTop="1">
      <c r="A97" s="50"/>
      <c r="B97" s="553" t="s">
        <v>175</v>
      </c>
      <c r="C97" s="554"/>
      <c r="D97" s="555"/>
      <c r="E97" s="53"/>
      <c r="F97" s="49"/>
      <c r="G97" s="55"/>
      <c r="H97" s="580" t="s">
        <v>152</v>
      </c>
      <c r="I97" s="581"/>
      <c r="J97" s="512"/>
      <c r="K97" s="56"/>
      <c r="L97" s="49"/>
      <c r="M97" s="60"/>
      <c r="N97" s="179"/>
      <c r="O97" s="179"/>
      <c r="P97" s="179"/>
      <c r="Q97" s="61"/>
      <c r="R97" s="49"/>
      <c r="S97" s="49"/>
      <c r="T97" s="49"/>
      <c r="U97" s="49"/>
      <c r="V97" s="49"/>
      <c r="W97" s="49"/>
      <c r="X97" s="49"/>
      <c r="Y97" s="49"/>
    </row>
    <row r="98" spans="1:25">
      <c r="A98" s="50"/>
      <c r="B98" s="218" t="s">
        <v>106</v>
      </c>
      <c r="C98" s="180" t="s">
        <v>27</v>
      </c>
      <c r="D98" s="219"/>
      <c r="E98" s="53"/>
      <c r="F98" s="49"/>
      <c r="G98" s="55"/>
      <c r="H98" s="82" t="s">
        <v>106</v>
      </c>
      <c r="I98" s="180" t="s">
        <v>210</v>
      </c>
      <c r="J98" s="83"/>
      <c r="K98" s="56"/>
      <c r="L98" s="49"/>
      <c r="M98" s="60"/>
      <c r="N98" s="179"/>
      <c r="O98" s="179"/>
      <c r="P98" s="179"/>
      <c r="Q98" s="61"/>
      <c r="R98" s="49"/>
      <c r="S98" s="49"/>
      <c r="T98" s="49"/>
      <c r="U98" s="49"/>
      <c r="V98" s="49"/>
      <c r="W98" s="49"/>
      <c r="X98" s="49"/>
      <c r="Y98" s="49"/>
    </row>
    <row r="99" spans="1:25">
      <c r="A99" s="50"/>
      <c r="B99" s="218" t="s">
        <v>108</v>
      </c>
      <c r="C99" s="180" t="s">
        <v>99</v>
      </c>
      <c r="D99" s="219"/>
      <c r="E99" s="53"/>
      <c r="F99" s="49"/>
      <c r="G99" s="55"/>
      <c r="H99" s="82" t="s">
        <v>108</v>
      </c>
      <c r="I99" s="180" t="s">
        <v>99</v>
      </c>
      <c r="J99" s="83"/>
      <c r="K99" s="56"/>
      <c r="L99" s="49"/>
      <c r="M99" s="60"/>
      <c r="N99" s="179"/>
      <c r="O99" s="179"/>
      <c r="P99" s="179"/>
      <c r="Q99" s="61"/>
      <c r="R99" s="49"/>
      <c r="S99" s="49"/>
      <c r="T99" s="49"/>
      <c r="U99" s="49"/>
      <c r="V99" s="49"/>
      <c r="W99" s="49"/>
      <c r="X99" s="49"/>
      <c r="Y99" s="49"/>
    </row>
    <row r="100" spans="1:25">
      <c r="A100" s="50"/>
      <c r="B100" s="218" t="s">
        <v>48</v>
      </c>
      <c r="C100" s="180" t="s">
        <v>25</v>
      </c>
      <c r="D100" s="220"/>
      <c r="E100" s="53"/>
      <c r="F100" s="49"/>
      <c r="G100" s="55"/>
      <c r="H100" s="82" t="s">
        <v>48</v>
      </c>
      <c r="I100" s="180" t="s">
        <v>102</v>
      </c>
      <c r="J100" s="84"/>
      <c r="K100" s="56"/>
      <c r="L100" s="49"/>
      <c r="M100" s="60"/>
      <c r="N100" s="179"/>
      <c r="O100" s="179"/>
      <c r="P100" s="179"/>
      <c r="Q100" s="61"/>
      <c r="R100" s="49"/>
      <c r="S100" s="49"/>
      <c r="T100" s="49"/>
      <c r="U100" s="49"/>
      <c r="V100" s="49"/>
      <c r="W100" s="49"/>
      <c r="X100" s="49"/>
      <c r="Y100" s="49"/>
    </row>
    <row r="101" spans="1:25">
      <c r="A101" s="50"/>
      <c r="B101" s="218" t="s">
        <v>49</v>
      </c>
      <c r="C101" s="181">
        <v>45706</v>
      </c>
      <c r="D101" s="220"/>
      <c r="E101" s="53"/>
      <c r="F101" s="49"/>
      <c r="G101" s="55"/>
      <c r="H101" s="82" t="s">
        <v>49</v>
      </c>
      <c r="I101" s="181">
        <v>45688</v>
      </c>
      <c r="J101" s="84"/>
      <c r="K101" s="56"/>
      <c r="L101" s="49"/>
      <c r="M101" s="60"/>
      <c r="N101" s="179"/>
      <c r="O101" s="179"/>
      <c r="P101" s="179"/>
      <c r="Q101" s="61"/>
      <c r="R101" s="49"/>
      <c r="S101" s="49"/>
      <c r="T101" s="49"/>
      <c r="U101" s="49"/>
      <c r="V101" s="49"/>
      <c r="W101" s="49"/>
      <c r="X101" s="49"/>
      <c r="Y101" s="49"/>
    </row>
    <row r="102" spans="1:25" ht="15.75" thickBot="1">
      <c r="A102" s="50"/>
      <c r="B102" s="221" t="s">
        <v>50</v>
      </c>
      <c r="C102" s="222">
        <v>45706</v>
      </c>
      <c r="D102" s="223"/>
      <c r="E102" s="53"/>
      <c r="F102" s="49"/>
      <c r="G102" s="55"/>
      <c r="H102" s="85" t="s">
        <v>50</v>
      </c>
      <c r="I102" s="86">
        <v>45691</v>
      </c>
      <c r="J102" s="87"/>
      <c r="K102" s="56"/>
      <c r="L102" s="49"/>
      <c r="M102" s="60"/>
      <c r="N102" s="179"/>
      <c r="O102" s="179"/>
      <c r="P102" s="179"/>
      <c r="Q102" s="61"/>
      <c r="R102" s="49"/>
      <c r="S102" s="49"/>
      <c r="T102" s="49"/>
      <c r="U102" s="49"/>
      <c r="V102" s="49"/>
      <c r="W102" s="49"/>
      <c r="X102" s="49"/>
      <c r="Y102" s="49"/>
    </row>
    <row r="103" spans="1:25" ht="15.75" thickTop="1">
      <c r="A103" s="50"/>
      <c r="B103" s="177"/>
      <c r="C103" s="177"/>
      <c r="D103" s="177"/>
      <c r="E103" s="53"/>
      <c r="F103" s="49"/>
      <c r="G103" s="55"/>
      <c r="H103" s="178"/>
      <c r="I103" s="178"/>
      <c r="J103" s="178"/>
      <c r="K103" s="56"/>
      <c r="L103" s="49"/>
      <c r="M103" s="60"/>
      <c r="N103" s="179"/>
      <c r="O103" s="179"/>
      <c r="P103" s="179"/>
      <c r="Q103" s="61"/>
      <c r="R103" s="49"/>
      <c r="S103" s="49"/>
      <c r="T103" s="49"/>
      <c r="U103" s="49"/>
      <c r="V103" s="49"/>
      <c r="W103" s="49"/>
      <c r="X103" s="49"/>
      <c r="Y103" s="49"/>
    </row>
    <row r="104" spans="1:25">
      <c r="A104" s="50"/>
      <c r="B104" s="553" t="s">
        <v>175</v>
      </c>
      <c r="C104" s="554"/>
      <c r="D104" s="555"/>
      <c r="E104" s="53"/>
      <c r="F104" s="49"/>
      <c r="G104" s="55"/>
      <c r="H104" s="582" t="s">
        <v>152</v>
      </c>
      <c r="I104" s="583"/>
      <c r="J104" s="584"/>
      <c r="K104" s="56"/>
      <c r="L104" s="49"/>
      <c r="M104" s="60"/>
      <c r="N104" s="179"/>
      <c r="O104" s="179"/>
      <c r="P104" s="179"/>
      <c r="Q104" s="61"/>
      <c r="R104" s="49"/>
      <c r="S104" s="49"/>
      <c r="T104" s="49"/>
      <c r="U104" s="49"/>
      <c r="V104" s="49"/>
      <c r="W104" s="49"/>
      <c r="X104" s="49"/>
      <c r="Y104" s="49"/>
    </row>
    <row r="105" spans="1:25">
      <c r="A105" s="50"/>
      <c r="B105" s="218" t="s">
        <v>106</v>
      </c>
      <c r="C105" s="180" t="s">
        <v>210</v>
      </c>
      <c r="D105" s="219"/>
      <c r="E105" s="53"/>
      <c r="F105" s="49"/>
      <c r="G105" s="55"/>
      <c r="H105" s="101" t="s">
        <v>106</v>
      </c>
      <c r="I105" s="180" t="s">
        <v>214</v>
      </c>
      <c r="J105" s="102"/>
      <c r="K105" s="56"/>
      <c r="L105" s="49"/>
      <c r="M105" s="60"/>
      <c r="N105" s="179"/>
      <c r="O105" s="179"/>
      <c r="P105" s="179"/>
      <c r="Q105" s="61"/>
      <c r="R105" s="49"/>
      <c r="S105" s="49"/>
      <c r="T105" s="49"/>
      <c r="U105" s="49"/>
      <c r="V105" s="49"/>
      <c r="W105" s="49"/>
      <c r="X105" s="49"/>
      <c r="Y105" s="49"/>
    </row>
    <row r="106" spans="1:25">
      <c r="A106" s="50"/>
      <c r="B106" s="218" t="s">
        <v>108</v>
      </c>
      <c r="C106" s="180" t="s">
        <v>99</v>
      </c>
      <c r="D106" s="219"/>
      <c r="E106" s="53"/>
      <c r="F106" s="49"/>
      <c r="G106" s="55"/>
      <c r="H106" s="101" t="s">
        <v>108</v>
      </c>
      <c r="I106" s="180" t="s">
        <v>99</v>
      </c>
      <c r="J106" s="102"/>
      <c r="K106" s="56"/>
      <c r="L106" s="49"/>
      <c r="M106" s="60"/>
      <c r="N106" s="179"/>
      <c r="O106" s="179"/>
      <c r="P106" s="179"/>
      <c r="Q106" s="61"/>
      <c r="R106" s="49"/>
      <c r="S106" s="49"/>
      <c r="T106" s="49"/>
      <c r="U106" s="49"/>
      <c r="V106" s="49"/>
      <c r="W106" s="49"/>
      <c r="X106" s="49"/>
      <c r="Y106" s="49"/>
    </row>
    <row r="107" spans="1:25">
      <c r="A107" s="50"/>
      <c r="B107" s="218" t="s">
        <v>48</v>
      </c>
      <c r="C107" s="180" t="s">
        <v>102</v>
      </c>
      <c r="D107" s="220"/>
      <c r="E107" s="53"/>
      <c r="F107" s="49"/>
      <c r="G107" s="55"/>
      <c r="H107" s="101" t="s">
        <v>48</v>
      </c>
      <c r="I107" s="180" t="s">
        <v>39</v>
      </c>
      <c r="J107" s="103"/>
      <c r="K107" s="56"/>
      <c r="L107" s="49"/>
      <c r="M107" s="60"/>
      <c r="N107" s="179"/>
      <c r="O107" s="179"/>
      <c r="P107" s="179"/>
      <c r="Q107" s="61"/>
      <c r="R107" s="49"/>
      <c r="S107" s="49"/>
      <c r="T107" s="49"/>
      <c r="U107" s="49"/>
      <c r="V107" s="49"/>
      <c r="W107" s="49"/>
      <c r="X107" s="49"/>
      <c r="Y107" s="49"/>
    </row>
    <row r="108" spans="1:25">
      <c r="A108" s="50"/>
      <c r="B108" s="218" t="s">
        <v>49</v>
      </c>
      <c r="C108" s="181">
        <v>45698</v>
      </c>
      <c r="D108" s="220"/>
      <c r="E108" s="53"/>
      <c r="F108" s="49"/>
      <c r="G108" s="55"/>
      <c r="H108" s="101" t="s">
        <v>49</v>
      </c>
      <c r="I108" s="181">
        <v>45692</v>
      </c>
      <c r="J108" s="103"/>
      <c r="K108" s="56"/>
      <c r="L108" s="49"/>
      <c r="M108" s="60"/>
      <c r="N108" s="179"/>
      <c r="O108" s="179"/>
      <c r="P108" s="179"/>
      <c r="Q108" s="61"/>
      <c r="R108" s="49"/>
      <c r="S108" s="49"/>
      <c r="T108" s="49"/>
      <c r="U108" s="49"/>
      <c r="V108" s="49"/>
      <c r="W108" s="49"/>
      <c r="X108" s="49"/>
      <c r="Y108" s="49"/>
    </row>
    <row r="109" spans="1:25">
      <c r="A109" s="50"/>
      <c r="B109" s="221" t="s">
        <v>50</v>
      </c>
      <c r="C109" s="222">
        <v>45699</v>
      </c>
      <c r="D109" s="223"/>
      <c r="E109" s="53"/>
      <c r="F109" s="49"/>
      <c r="G109" s="55"/>
      <c r="H109" s="104" t="s">
        <v>50</v>
      </c>
      <c r="I109" s="105">
        <v>45698</v>
      </c>
      <c r="J109" s="106"/>
      <c r="K109" s="56"/>
      <c r="L109" s="49"/>
      <c r="M109" s="60"/>
      <c r="N109" s="179"/>
      <c r="O109" s="179"/>
      <c r="P109" s="179"/>
      <c r="Q109" s="61"/>
      <c r="R109" s="49"/>
      <c r="S109" s="49"/>
      <c r="T109" s="49"/>
      <c r="U109" s="49"/>
      <c r="V109" s="49"/>
      <c r="W109" s="49"/>
      <c r="X109" s="49"/>
      <c r="Y109" s="49"/>
    </row>
    <row r="110" spans="1:25" ht="15.75" thickBot="1">
      <c r="A110" s="50"/>
      <c r="B110" s="177"/>
      <c r="C110" s="177"/>
      <c r="D110" s="177"/>
      <c r="E110" s="53"/>
      <c r="F110" s="49"/>
      <c r="G110" s="55"/>
      <c r="H110" s="178"/>
      <c r="I110" s="178"/>
      <c r="J110" s="178"/>
      <c r="K110" s="56"/>
      <c r="L110" s="49"/>
      <c r="M110" s="60"/>
      <c r="N110" s="179"/>
      <c r="O110" s="179"/>
      <c r="P110" s="179"/>
      <c r="Q110" s="61"/>
      <c r="R110" s="49"/>
      <c r="S110" s="49"/>
      <c r="T110" s="49"/>
      <c r="U110" s="49"/>
      <c r="V110" s="49"/>
      <c r="W110" s="49"/>
      <c r="X110" s="49"/>
      <c r="Y110" s="49"/>
    </row>
    <row r="111" spans="1:25" ht="15.75" thickTop="1">
      <c r="A111" s="50"/>
      <c r="B111" s="553" t="s">
        <v>175</v>
      </c>
      <c r="C111" s="554"/>
      <c r="D111" s="555"/>
      <c r="E111" s="53"/>
      <c r="F111" s="49"/>
      <c r="G111" s="55"/>
      <c r="H111" s="585" t="s">
        <v>154</v>
      </c>
      <c r="I111" s="586"/>
      <c r="J111" s="512"/>
      <c r="K111" s="56"/>
      <c r="L111" s="49"/>
      <c r="M111" s="60"/>
      <c r="N111" s="179"/>
      <c r="O111" s="179"/>
      <c r="P111" s="179"/>
      <c r="Q111" s="61"/>
      <c r="R111" s="49"/>
      <c r="S111" s="49"/>
      <c r="T111" s="49"/>
      <c r="U111" s="49"/>
      <c r="V111" s="49"/>
      <c r="W111" s="49"/>
      <c r="X111" s="49"/>
      <c r="Y111" s="49"/>
    </row>
    <row r="112" spans="1:25">
      <c r="A112" s="50"/>
      <c r="B112" s="218" t="s">
        <v>106</v>
      </c>
      <c r="C112" s="180" t="s">
        <v>214</v>
      </c>
      <c r="D112" s="219"/>
      <c r="E112" s="53"/>
      <c r="F112" s="49"/>
      <c r="G112" s="55"/>
      <c r="H112" s="82" t="s">
        <v>106</v>
      </c>
      <c r="I112" s="180" t="s">
        <v>27</v>
      </c>
      <c r="J112" s="83"/>
      <c r="K112" s="56"/>
      <c r="L112" s="49"/>
      <c r="M112" s="60"/>
      <c r="N112" s="179"/>
      <c r="O112" s="179"/>
      <c r="P112" s="179"/>
      <c r="Q112" s="61"/>
      <c r="R112" s="49"/>
      <c r="S112" s="49"/>
      <c r="T112" s="49"/>
      <c r="U112" s="49"/>
      <c r="V112" s="49"/>
      <c r="W112" s="49"/>
      <c r="X112" s="49"/>
      <c r="Y112" s="49"/>
    </row>
    <row r="113" spans="1:25">
      <c r="A113" s="50"/>
      <c r="B113" s="218" t="s">
        <v>108</v>
      </c>
      <c r="C113" s="180" t="s">
        <v>99</v>
      </c>
      <c r="D113" s="219"/>
      <c r="E113" s="53"/>
      <c r="F113" s="49"/>
      <c r="G113" s="55"/>
      <c r="H113" s="82" t="s">
        <v>108</v>
      </c>
      <c r="I113" s="180" t="s">
        <v>99</v>
      </c>
      <c r="J113" s="83"/>
      <c r="K113" s="56"/>
      <c r="L113" s="49"/>
      <c r="M113" s="60"/>
      <c r="N113" s="179"/>
      <c r="O113" s="179"/>
      <c r="P113" s="179"/>
      <c r="Q113" s="61"/>
      <c r="R113" s="49"/>
      <c r="S113" s="49"/>
      <c r="T113" s="49"/>
      <c r="U113" s="49"/>
      <c r="V113" s="49"/>
      <c r="W113" s="49"/>
      <c r="X113" s="49"/>
      <c r="Y113" s="49"/>
    </row>
    <row r="114" spans="1:25">
      <c r="A114" s="50"/>
      <c r="B114" s="218" t="s">
        <v>48</v>
      </c>
      <c r="C114" s="180" t="s">
        <v>39</v>
      </c>
      <c r="D114" s="220"/>
      <c r="E114" s="53"/>
      <c r="F114" s="49"/>
      <c r="G114" s="55"/>
      <c r="H114" s="82" t="s">
        <v>48</v>
      </c>
      <c r="I114" s="180" t="s">
        <v>25</v>
      </c>
      <c r="J114" s="84"/>
      <c r="K114" s="56"/>
      <c r="L114" s="49"/>
      <c r="M114" s="60"/>
      <c r="N114" s="179"/>
      <c r="O114" s="179"/>
      <c r="P114" s="179"/>
      <c r="Q114" s="61"/>
      <c r="R114" s="49"/>
      <c r="S114" s="49"/>
      <c r="T114" s="49"/>
      <c r="U114" s="49"/>
      <c r="V114" s="49"/>
      <c r="W114" s="49"/>
      <c r="X114" s="49"/>
      <c r="Y114" s="49"/>
    </row>
    <row r="115" spans="1:25">
      <c r="A115" s="50"/>
      <c r="B115" s="218" t="s">
        <v>49</v>
      </c>
      <c r="C115" s="181">
        <v>45700</v>
      </c>
      <c r="D115" s="220"/>
      <c r="E115" s="53"/>
      <c r="F115" s="49"/>
      <c r="G115" s="55"/>
      <c r="H115" s="82" t="s">
        <v>49</v>
      </c>
      <c r="I115" s="181">
        <v>45693</v>
      </c>
      <c r="J115" s="84"/>
      <c r="K115" s="56"/>
      <c r="L115" s="49"/>
      <c r="M115" s="60"/>
      <c r="N115" s="179"/>
      <c r="O115" s="179"/>
      <c r="P115" s="179"/>
      <c r="Q115" s="61"/>
      <c r="R115" s="49"/>
      <c r="S115" s="49"/>
      <c r="T115" s="49"/>
      <c r="U115" s="49"/>
      <c r="V115" s="49"/>
      <c r="W115" s="49"/>
      <c r="X115" s="49"/>
      <c r="Y115" s="49"/>
    </row>
    <row r="116" spans="1:25" ht="15.75" thickBot="1">
      <c r="A116" s="50"/>
      <c r="B116" s="221" t="s">
        <v>50</v>
      </c>
      <c r="C116" s="222">
        <v>45705</v>
      </c>
      <c r="D116" s="223"/>
      <c r="E116" s="53"/>
      <c r="F116" s="49"/>
      <c r="G116" s="55"/>
      <c r="H116" s="85" t="s">
        <v>50</v>
      </c>
      <c r="I116" s="86">
        <v>45693</v>
      </c>
      <c r="J116" s="87"/>
      <c r="K116" s="56"/>
      <c r="L116" s="49"/>
      <c r="M116" s="60"/>
      <c r="N116" s="179"/>
      <c r="O116" s="179"/>
      <c r="P116" s="179"/>
      <c r="Q116" s="61"/>
      <c r="R116" s="49"/>
      <c r="S116" s="49"/>
      <c r="T116" s="49"/>
      <c r="U116" s="49"/>
      <c r="V116" s="49"/>
      <c r="W116" s="49"/>
      <c r="X116" s="49"/>
      <c r="Y116" s="49"/>
    </row>
    <row r="117" spans="1:25" ht="16.5" thickTop="1" thickBot="1">
      <c r="A117" s="50"/>
      <c r="B117" s="177"/>
      <c r="C117" s="177"/>
      <c r="D117" s="177"/>
      <c r="E117" s="53"/>
      <c r="F117" s="49"/>
      <c r="G117" s="55"/>
      <c r="H117" s="178"/>
      <c r="I117" s="178"/>
      <c r="J117" s="178"/>
      <c r="K117" s="56"/>
      <c r="L117" s="49"/>
      <c r="M117" s="60"/>
      <c r="N117" s="179"/>
      <c r="O117" s="179"/>
      <c r="P117" s="179"/>
      <c r="Q117" s="61"/>
      <c r="R117" s="49"/>
      <c r="S117" s="49"/>
      <c r="T117" s="49"/>
      <c r="U117" s="49"/>
      <c r="V117" s="49"/>
      <c r="W117" s="49"/>
      <c r="X117" s="49"/>
      <c r="Y117" s="49"/>
    </row>
    <row r="118" spans="1:25" ht="15.75" thickTop="1">
      <c r="A118" s="50"/>
      <c r="B118" s="565" t="s">
        <v>177</v>
      </c>
      <c r="C118" s="566"/>
      <c r="D118" s="567"/>
      <c r="E118" s="53"/>
      <c r="F118" s="49"/>
      <c r="G118" s="55"/>
      <c r="H118" s="585" t="s">
        <v>154</v>
      </c>
      <c r="I118" s="586"/>
      <c r="J118" s="512"/>
      <c r="K118" s="56"/>
      <c r="L118" s="49"/>
      <c r="M118" s="60"/>
      <c r="N118" s="179"/>
      <c r="O118" s="179"/>
      <c r="P118" s="179"/>
      <c r="Q118" s="61"/>
      <c r="R118" s="49"/>
      <c r="S118" s="49"/>
      <c r="T118" s="49"/>
      <c r="U118" s="49"/>
      <c r="V118" s="49"/>
      <c r="W118" s="49"/>
      <c r="X118" s="49"/>
      <c r="Y118" s="49"/>
    </row>
    <row r="119" spans="1:25">
      <c r="A119" s="50"/>
      <c r="B119" s="224" t="s">
        <v>106</v>
      </c>
      <c r="C119" s="180" t="s">
        <v>27</v>
      </c>
      <c r="D119" s="225"/>
      <c r="E119" s="53"/>
      <c r="F119" s="49"/>
      <c r="G119" s="55"/>
      <c r="H119" s="82" t="s">
        <v>106</v>
      </c>
      <c r="I119" s="180" t="s">
        <v>210</v>
      </c>
      <c r="J119" s="83"/>
      <c r="K119" s="56"/>
      <c r="L119" s="49"/>
      <c r="M119" s="60"/>
      <c r="N119" s="179"/>
      <c r="O119" s="179"/>
      <c r="P119" s="179"/>
      <c r="Q119" s="61"/>
      <c r="R119" s="49"/>
      <c r="S119" s="49"/>
      <c r="T119" s="49"/>
      <c r="U119" s="49"/>
      <c r="V119" s="49"/>
      <c r="W119" s="49"/>
      <c r="X119" s="49"/>
      <c r="Y119" s="49"/>
    </row>
    <row r="120" spans="1:25">
      <c r="A120" s="50"/>
      <c r="B120" s="224" t="s">
        <v>108</v>
      </c>
      <c r="C120" s="180" t="s">
        <v>99</v>
      </c>
      <c r="D120" s="225"/>
      <c r="E120" s="53"/>
      <c r="F120" s="49"/>
      <c r="G120" s="55"/>
      <c r="H120" s="82" t="s">
        <v>108</v>
      </c>
      <c r="I120" s="180" t="s">
        <v>99</v>
      </c>
      <c r="J120" s="83"/>
      <c r="K120" s="56"/>
      <c r="L120" s="49"/>
      <c r="M120" s="60"/>
      <c r="N120" s="179"/>
      <c r="O120" s="179"/>
      <c r="P120" s="179"/>
      <c r="Q120" s="61"/>
      <c r="R120" s="49"/>
      <c r="S120" s="49"/>
      <c r="T120" s="49"/>
      <c r="U120" s="49"/>
      <c r="V120" s="49"/>
      <c r="W120" s="49"/>
      <c r="X120" s="49"/>
      <c r="Y120" s="49"/>
    </row>
    <row r="121" spans="1:25">
      <c r="A121" s="50"/>
      <c r="B121" s="224" t="s">
        <v>48</v>
      </c>
      <c r="C121" s="180" t="s">
        <v>25</v>
      </c>
      <c r="D121" s="226"/>
      <c r="E121" s="53"/>
      <c r="F121" s="49"/>
      <c r="G121" s="55"/>
      <c r="H121" s="82" t="s">
        <v>48</v>
      </c>
      <c r="I121" s="180" t="s">
        <v>102</v>
      </c>
      <c r="J121" s="84"/>
      <c r="K121" s="56"/>
      <c r="L121" s="49"/>
      <c r="M121" s="60"/>
      <c r="N121" s="179"/>
      <c r="O121" s="179"/>
      <c r="P121" s="179"/>
      <c r="Q121" s="61"/>
      <c r="R121" s="49"/>
      <c r="S121" s="49"/>
      <c r="T121" s="49"/>
      <c r="U121" s="49"/>
      <c r="V121" s="49"/>
      <c r="W121" s="49"/>
      <c r="X121" s="49"/>
      <c r="Y121" s="49"/>
    </row>
    <row r="122" spans="1:25">
      <c r="A122" s="50"/>
      <c r="B122" s="224" t="s">
        <v>49</v>
      </c>
      <c r="C122" s="181">
        <v>45707</v>
      </c>
      <c r="D122" s="226"/>
      <c r="E122" s="53"/>
      <c r="F122" s="49"/>
      <c r="G122" s="55"/>
      <c r="H122" s="82" t="s">
        <v>49</v>
      </c>
      <c r="I122" s="181">
        <v>45688</v>
      </c>
      <c r="J122" s="84"/>
      <c r="K122" s="56"/>
      <c r="L122" s="49"/>
      <c r="M122" s="60"/>
      <c r="N122" s="179"/>
      <c r="O122" s="179"/>
      <c r="P122" s="179"/>
      <c r="Q122" s="61"/>
      <c r="R122" s="49"/>
      <c r="S122" s="49"/>
      <c r="T122" s="49"/>
      <c r="U122" s="49"/>
      <c r="V122" s="49"/>
      <c r="W122" s="49"/>
      <c r="X122" s="49"/>
      <c r="Y122" s="49"/>
    </row>
    <row r="123" spans="1:25" ht="15.75" thickBot="1">
      <c r="A123" s="50"/>
      <c r="B123" s="227" t="s">
        <v>50</v>
      </c>
      <c r="C123" s="228">
        <v>45707</v>
      </c>
      <c r="D123" s="229"/>
      <c r="E123" s="53"/>
      <c r="F123" s="49"/>
      <c r="G123" s="55"/>
      <c r="H123" s="85" t="s">
        <v>50</v>
      </c>
      <c r="I123" s="86">
        <v>45691</v>
      </c>
      <c r="J123" s="87"/>
      <c r="K123" s="56"/>
      <c r="L123" s="49"/>
      <c r="M123" s="60"/>
      <c r="N123" s="179"/>
      <c r="O123" s="179"/>
      <c r="P123" s="179"/>
      <c r="Q123" s="61"/>
      <c r="R123" s="49"/>
      <c r="S123" s="49"/>
      <c r="T123" s="49"/>
      <c r="U123" s="49"/>
      <c r="V123" s="49"/>
      <c r="W123" s="49"/>
      <c r="X123" s="49"/>
      <c r="Y123" s="49"/>
    </row>
    <row r="124" spans="1:25" ht="15.75" thickTop="1">
      <c r="A124" s="50"/>
      <c r="B124" s="177"/>
      <c r="C124" s="177"/>
      <c r="D124" s="177"/>
      <c r="E124" s="53"/>
      <c r="F124" s="49"/>
      <c r="G124" s="55"/>
      <c r="H124" s="178"/>
      <c r="I124" s="178"/>
      <c r="J124" s="178"/>
      <c r="K124" s="56"/>
      <c r="L124" s="49"/>
      <c r="M124" s="60"/>
      <c r="N124" s="179"/>
      <c r="O124" s="179"/>
      <c r="P124" s="179"/>
      <c r="Q124" s="61"/>
      <c r="R124" s="49"/>
      <c r="S124" s="49"/>
      <c r="T124" s="49"/>
      <c r="U124" s="49"/>
      <c r="V124" s="49"/>
      <c r="W124" s="49"/>
      <c r="X124" s="49"/>
      <c r="Y124" s="49"/>
    </row>
    <row r="125" spans="1:25">
      <c r="A125" s="50"/>
      <c r="B125" s="565" t="s">
        <v>177</v>
      </c>
      <c r="C125" s="566"/>
      <c r="D125" s="567"/>
      <c r="E125" s="53"/>
      <c r="F125" s="49"/>
      <c r="G125" s="55"/>
      <c r="H125" s="562" t="s">
        <v>154</v>
      </c>
      <c r="I125" s="563"/>
      <c r="J125" s="564"/>
      <c r="K125" s="56"/>
      <c r="L125" s="49"/>
      <c r="M125" s="60"/>
      <c r="N125" s="179"/>
      <c r="O125" s="179"/>
      <c r="P125" s="179"/>
      <c r="Q125" s="61"/>
      <c r="R125" s="49"/>
      <c r="S125" s="49"/>
      <c r="T125" s="49"/>
      <c r="U125" s="49"/>
      <c r="V125" s="49"/>
      <c r="W125" s="49"/>
      <c r="X125" s="49"/>
      <c r="Y125" s="49"/>
    </row>
    <row r="126" spans="1:25">
      <c r="A126" s="50"/>
      <c r="B126" s="224" t="s">
        <v>106</v>
      </c>
      <c r="C126" s="180" t="s">
        <v>210</v>
      </c>
      <c r="D126" s="225"/>
      <c r="E126" s="53"/>
      <c r="F126" s="49"/>
      <c r="G126" s="55"/>
      <c r="H126" s="107" t="s">
        <v>106</v>
      </c>
      <c r="I126" s="180" t="s">
        <v>214</v>
      </c>
      <c r="J126" s="108"/>
      <c r="K126" s="56"/>
      <c r="L126" s="49"/>
      <c r="M126" s="60"/>
      <c r="N126" s="179"/>
      <c r="O126" s="179"/>
      <c r="P126" s="179"/>
      <c r="Q126" s="61"/>
      <c r="R126" s="49"/>
      <c r="S126" s="49"/>
      <c r="T126" s="49"/>
      <c r="U126" s="49"/>
      <c r="V126" s="49"/>
      <c r="W126" s="49"/>
      <c r="X126" s="49"/>
      <c r="Y126" s="49"/>
    </row>
    <row r="127" spans="1:25">
      <c r="A127" s="50"/>
      <c r="B127" s="224" t="s">
        <v>108</v>
      </c>
      <c r="C127" s="180" t="s">
        <v>99</v>
      </c>
      <c r="D127" s="225"/>
      <c r="E127" s="53"/>
      <c r="F127" s="49"/>
      <c r="G127" s="55"/>
      <c r="H127" s="107" t="s">
        <v>108</v>
      </c>
      <c r="I127" s="180" t="s">
        <v>99</v>
      </c>
      <c r="J127" s="108"/>
      <c r="K127" s="56"/>
      <c r="L127" s="49"/>
      <c r="M127" s="60"/>
      <c r="N127" s="179"/>
      <c r="O127" s="179"/>
      <c r="P127" s="179"/>
      <c r="Q127" s="61"/>
      <c r="R127" s="49"/>
      <c r="S127" s="49"/>
      <c r="T127" s="49"/>
      <c r="U127" s="49"/>
      <c r="V127" s="49"/>
      <c r="W127" s="49"/>
      <c r="X127" s="49"/>
      <c r="Y127" s="49"/>
    </row>
    <row r="128" spans="1:25">
      <c r="A128" s="50"/>
      <c r="B128" s="224" t="s">
        <v>48</v>
      </c>
      <c r="C128" s="180" t="s">
        <v>102</v>
      </c>
      <c r="D128" s="226"/>
      <c r="E128" s="53"/>
      <c r="F128" s="49"/>
      <c r="G128" s="55"/>
      <c r="H128" s="107" t="s">
        <v>48</v>
      </c>
      <c r="I128" s="180" t="s">
        <v>39</v>
      </c>
      <c r="J128" s="109"/>
      <c r="K128" s="56"/>
      <c r="L128" s="49"/>
      <c r="M128" s="60"/>
      <c r="N128" s="179"/>
      <c r="O128" s="179"/>
      <c r="P128" s="179"/>
      <c r="Q128" s="61"/>
      <c r="R128" s="49"/>
      <c r="S128" s="49"/>
      <c r="T128" s="49"/>
      <c r="U128" s="49"/>
      <c r="V128" s="49"/>
      <c r="W128" s="49"/>
      <c r="X128" s="49"/>
      <c r="Y128" s="49"/>
    </row>
    <row r="129" spans="1:25">
      <c r="A129" s="50"/>
      <c r="B129" s="224" t="s">
        <v>49</v>
      </c>
      <c r="C129" s="181">
        <v>45700</v>
      </c>
      <c r="D129" s="226"/>
      <c r="E129" s="53"/>
      <c r="F129" s="49"/>
      <c r="G129" s="55"/>
      <c r="H129" s="107" t="s">
        <v>49</v>
      </c>
      <c r="I129" s="181">
        <v>45692</v>
      </c>
      <c r="J129" s="109"/>
      <c r="K129" s="56"/>
      <c r="L129" s="49"/>
      <c r="M129" s="60"/>
      <c r="N129" s="179"/>
      <c r="O129" s="179"/>
      <c r="P129" s="179"/>
      <c r="Q129" s="61"/>
      <c r="R129" s="49"/>
      <c r="S129" s="49"/>
      <c r="T129" s="49"/>
      <c r="U129" s="49"/>
      <c r="V129" s="49"/>
      <c r="W129" s="49"/>
      <c r="X129" s="49"/>
      <c r="Y129" s="49"/>
    </row>
    <row r="130" spans="1:25">
      <c r="A130" s="50"/>
      <c r="B130" s="227" t="s">
        <v>50</v>
      </c>
      <c r="C130" s="228">
        <v>45701</v>
      </c>
      <c r="D130" s="229"/>
      <c r="E130" s="53"/>
      <c r="F130" s="49"/>
      <c r="G130" s="55"/>
      <c r="H130" s="110" t="s">
        <v>50</v>
      </c>
      <c r="I130" s="111">
        <v>45698</v>
      </c>
      <c r="J130" s="112"/>
      <c r="K130" s="56"/>
      <c r="L130" s="49"/>
      <c r="M130" s="60"/>
      <c r="N130" s="179"/>
      <c r="O130" s="179"/>
      <c r="P130" s="179"/>
      <c r="Q130" s="61"/>
      <c r="R130" s="49"/>
      <c r="S130" s="49"/>
      <c r="T130" s="49"/>
      <c r="U130" s="49"/>
      <c r="V130" s="49"/>
      <c r="W130" s="49"/>
      <c r="X130" s="49"/>
      <c r="Y130" s="49"/>
    </row>
    <row r="131" spans="1:25" ht="15.75" thickBot="1">
      <c r="A131" s="50"/>
      <c r="B131" s="177"/>
      <c r="C131" s="177"/>
      <c r="D131" s="177"/>
      <c r="E131" s="53"/>
      <c r="F131" s="49"/>
      <c r="G131" s="55"/>
      <c r="H131" s="178"/>
      <c r="I131" s="178"/>
      <c r="J131" s="178"/>
      <c r="K131" s="56"/>
      <c r="L131" s="49"/>
      <c r="M131" s="60"/>
      <c r="N131" s="179"/>
      <c r="O131" s="179"/>
      <c r="P131" s="179"/>
      <c r="Q131" s="61"/>
      <c r="R131" s="49"/>
      <c r="S131" s="49"/>
      <c r="T131" s="49"/>
      <c r="U131" s="49"/>
      <c r="V131" s="49"/>
      <c r="W131" s="49"/>
      <c r="X131" s="49"/>
      <c r="Y131" s="49"/>
    </row>
    <row r="132" spans="1:25" ht="15.75" thickTop="1">
      <c r="A132" s="50"/>
      <c r="B132" s="565" t="s">
        <v>177</v>
      </c>
      <c r="C132" s="566"/>
      <c r="D132" s="567"/>
      <c r="E132" s="53"/>
      <c r="F132" s="49"/>
      <c r="G132" s="55"/>
      <c r="H132" s="510" t="s">
        <v>157</v>
      </c>
      <c r="I132" s="511"/>
      <c r="J132" s="512"/>
      <c r="K132" s="56"/>
      <c r="L132" s="49"/>
      <c r="M132" s="60"/>
      <c r="N132" s="179"/>
      <c r="O132" s="179"/>
      <c r="P132" s="179"/>
      <c r="Q132" s="61"/>
      <c r="R132" s="49"/>
      <c r="S132" s="49"/>
      <c r="T132" s="49"/>
      <c r="U132" s="49"/>
      <c r="V132" s="49"/>
      <c r="W132" s="49"/>
      <c r="X132" s="49"/>
      <c r="Y132" s="49"/>
    </row>
    <row r="133" spans="1:25">
      <c r="A133" s="50"/>
      <c r="B133" s="224" t="s">
        <v>106</v>
      </c>
      <c r="C133" s="180" t="s">
        <v>214</v>
      </c>
      <c r="D133" s="225"/>
      <c r="E133" s="53"/>
      <c r="F133" s="49"/>
      <c r="G133" s="55"/>
      <c r="H133" s="82" t="s">
        <v>106</v>
      </c>
      <c r="I133" s="180" t="s">
        <v>27</v>
      </c>
      <c r="J133" s="83"/>
      <c r="K133" s="56"/>
      <c r="L133" s="49"/>
      <c r="M133" s="60"/>
      <c r="N133" s="179"/>
      <c r="O133" s="179"/>
      <c r="P133" s="179"/>
      <c r="Q133" s="61"/>
      <c r="R133" s="49"/>
      <c r="S133" s="49"/>
      <c r="T133" s="49"/>
      <c r="U133" s="49"/>
      <c r="V133" s="49"/>
      <c r="W133" s="49"/>
      <c r="X133" s="49"/>
      <c r="Y133" s="49"/>
    </row>
    <row r="134" spans="1:25">
      <c r="A134" s="50"/>
      <c r="B134" s="224" t="s">
        <v>108</v>
      </c>
      <c r="C134" s="180" t="s">
        <v>99</v>
      </c>
      <c r="D134" s="225"/>
      <c r="E134" s="53"/>
      <c r="F134" s="49"/>
      <c r="G134" s="55"/>
      <c r="H134" s="82" t="s">
        <v>108</v>
      </c>
      <c r="I134" s="180" t="s">
        <v>99</v>
      </c>
      <c r="J134" s="83"/>
      <c r="K134" s="56"/>
      <c r="L134" s="49"/>
      <c r="M134" s="60"/>
      <c r="N134" s="179"/>
      <c r="O134" s="179"/>
      <c r="P134" s="179"/>
      <c r="Q134" s="61"/>
      <c r="R134" s="49"/>
      <c r="S134" s="49"/>
      <c r="T134" s="49"/>
      <c r="U134" s="49"/>
      <c r="V134" s="49"/>
      <c r="W134" s="49"/>
      <c r="X134" s="49"/>
      <c r="Y134" s="49"/>
    </row>
    <row r="135" spans="1:25">
      <c r="A135" s="50"/>
      <c r="B135" s="224" t="s">
        <v>48</v>
      </c>
      <c r="C135" s="180" t="s">
        <v>39</v>
      </c>
      <c r="D135" s="226"/>
      <c r="E135" s="53"/>
      <c r="F135" s="49"/>
      <c r="G135" s="55"/>
      <c r="H135" s="82" t="s">
        <v>48</v>
      </c>
      <c r="I135" s="180" t="s">
        <v>25</v>
      </c>
      <c r="J135" s="84"/>
      <c r="K135" s="56"/>
      <c r="L135" s="49"/>
      <c r="M135" s="60"/>
      <c r="N135" s="179"/>
      <c r="O135" s="179"/>
      <c r="P135" s="179"/>
      <c r="Q135" s="61"/>
      <c r="R135" s="49"/>
      <c r="S135" s="49"/>
      <c r="T135" s="49"/>
      <c r="U135" s="49"/>
      <c r="V135" s="49"/>
      <c r="W135" s="49"/>
      <c r="X135" s="49"/>
      <c r="Y135" s="49"/>
    </row>
    <row r="136" spans="1:25">
      <c r="A136" s="50"/>
      <c r="B136" s="224" t="s">
        <v>49</v>
      </c>
      <c r="C136" s="181">
        <v>45702</v>
      </c>
      <c r="D136" s="226"/>
      <c r="E136" s="53"/>
      <c r="F136" s="49"/>
      <c r="G136" s="55"/>
      <c r="H136" s="82" t="s">
        <v>49</v>
      </c>
      <c r="I136" s="181">
        <v>45694</v>
      </c>
      <c r="J136" s="84"/>
      <c r="K136" s="56"/>
      <c r="L136" s="49"/>
      <c r="M136" s="60"/>
      <c r="N136" s="179"/>
      <c r="O136" s="179"/>
      <c r="P136" s="179"/>
      <c r="Q136" s="61"/>
      <c r="R136" s="49"/>
      <c r="S136" s="49"/>
      <c r="T136" s="49"/>
      <c r="U136" s="49"/>
      <c r="V136" s="49"/>
      <c r="W136" s="49"/>
      <c r="X136" s="49"/>
      <c r="Y136" s="49"/>
    </row>
    <row r="137" spans="1:25" ht="15.75" thickBot="1">
      <c r="A137" s="50"/>
      <c r="B137" s="227" t="s">
        <v>50</v>
      </c>
      <c r="C137" s="228">
        <v>45707</v>
      </c>
      <c r="D137" s="229"/>
      <c r="E137" s="53"/>
      <c r="F137" s="49"/>
      <c r="G137" s="55"/>
      <c r="H137" s="85" t="s">
        <v>50</v>
      </c>
      <c r="I137" s="86">
        <v>45694</v>
      </c>
      <c r="J137" s="87"/>
      <c r="K137" s="56"/>
      <c r="L137" s="49"/>
      <c r="M137" s="60"/>
      <c r="N137" s="179"/>
      <c r="O137" s="179"/>
      <c r="P137" s="179"/>
      <c r="Q137" s="61"/>
      <c r="R137" s="49"/>
      <c r="S137" s="49"/>
      <c r="T137" s="49"/>
      <c r="U137" s="49"/>
      <c r="V137" s="49"/>
      <c r="W137" s="49"/>
      <c r="X137" s="49"/>
      <c r="Y137" s="49"/>
    </row>
    <row r="138" spans="1:25" ht="16.5" thickTop="1" thickBot="1">
      <c r="A138" s="50"/>
      <c r="B138" s="177"/>
      <c r="C138" s="177"/>
      <c r="D138" s="177"/>
      <c r="E138" s="53"/>
      <c r="F138" s="49"/>
      <c r="G138" s="55"/>
      <c r="H138" s="178"/>
      <c r="I138" s="178"/>
      <c r="J138" s="178"/>
      <c r="K138" s="56"/>
      <c r="L138" s="49"/>
      <c r="M138" s="60"/>
      <c r="N138" s="179"/>
      <c r="O138" s="179"/>
      <c r="P138" s="179"/>
      <c r="Q138" s="61"/>
      <c r="R138" s="49"/>
      <c r="S138" s="49"/>
      <c r="T138" s="49"/>
      <c r="U138" s="49"/>
      <c r="V138" s="49"/>
      <c r="W138" s="49"/>
      <c r="X138" s="49"/>
      <c r="Y138" s="49"/>
    </row>
    <row r="139" spans="1:25" ht="15.75" thickTop="1">
      <c r="A139" s="50"/>
      <c r="B139" s="498" t="s">
        <v>179</v>
      </c>
      <c r="C139" s="499"/>
      <c r="D139" s="500"/>
      <c r="E139" s="53"/>
      <c r="F139" s="49"/>
      <c r="G139" s="55"/>
      <c r="H139" s="510" t="s">
        <v>157</v>
      </c>
      <c r="I139" s="511"/>
      <c r="J139" s="512"/>
      <c r="K139" s="56"/>
      <c r="L139" s="49"/>
      <c r="M139" s="60"/>
      <c r="N139" s="179"/>
      <c r="O139" s="179"/>
      <c r="P139" s="179"/>
      <c r="Q139" s="61"/>
      <c r="R139" s="49"/>
      <c r="S139" s="49"/>
      <c r="T139" s="49"/>
      <c r="U139" s="49"/>
      <c r="V139" s="49"/>
      <c r="W139" s="49"/>
      <c r="X139" s="49"/>
      <c r="Y139" s="49"/>
    </row>
    <row r="140" spans="1:25">
      <c r="A140" s="50"/>
      <c r="B140" s="302" t="s">
        <v>106</v>
      </c>
      <c r="C140" s="180" t="s">
        <v>27</v>
      </c>
      <c r="D140" s="303"/>
      <c r="E140" s="53"/>
      <c r="F140" s="49"/>
      <c r="G140" s="55"/>
      <c r="H140" s="82" t="s">
        <v>106</v>
      </c>
      <c r="I140" s="180" t="s">
        <v>210</v>
      </c>
      <c r="J140" s="83"/>
      <c r="K140" s="56"/>
      <c r="L140" s="49"/>
      <c r="M140" s="60"/>
      <c r="N140" s="179"/>
      <c r="O140" s="179"/>
      <c r="P140" s="179"/>
      <c r="Q140" s="61"/>
      <c r="R140" s="49"/>
      <c r="S140" s="49"/>
      <c r="T140" s="49"/>
      <c r="U140" s="49"/>
      <c r="V140" s="49"/>
      <c r="W140" s="49"/>
      <c r="X140" s="49"/>
      <c r="Y140" s="49"/>
    </row>
    <row r="141" spans="1:25">
      <c r="A141" s="50"/>
      <c r="B141" s="302" t="s">
        <v>108</v>
      </c>
      <c r="C141" s="180" t="s">
        <v>99</v>
      </c>
      <c r="D141" s="303"/>
      <c r="E141" s="53"/>
      <c r="F141" s="49"/>
      <c r="G141" s="55"/>
      <c r="H141" s="82" t="s">
        <v>108</v>
      </c>
      <c r="I141" s="180" t="s">
        <v>99</v>
      </c>
      <c r="J141" s="83"/>
      <c r="K141" s="56"/>
      <c r="L141" s="49"/>
      <c r="M141" s="60"/>
      <c r="N141" s="179"/>
      <c r="O141" s="179"/>
      <c r="P141" s="179"/>
      <c r="Q141" s="61"/>
      <c r="R141" s="49"/>
      <c r="S141" s="49"/>
      <c r="T141" s="49"/>
      <c r="U141" s="49"/>
      <c r="V141" s="49"/>
      <c r="W141" s="49"/>
      <c r="X141" s="49"/>
      <c r="Y141" s="49"/>
    </row>
    <row r="142" spans="1:25">
      <c r="A142" s="50"/>
      <c r="B142" s="302" t="s">
        <v>48</v>
      </c>
      <c r="C142" s="180" t="s">
        <v>25</v>
      </c>
      <c r="D142" s="304"/>
      <c r="E142" s="53"/>
      <c r="F142" s="49"/>
      <c r="G142" s="55"/>
      <c r="H142" s="82" t="s">
        <v>48</v>
      </c>
      <c r="I142" s="180" t="s">
        <v>102</v>
      </c>
      <c r="J142" s="84"/>
      <c r="K142" s="56"/>
      <c r="L142" s="49"/>
      <c r="M142" s="60"/>
      <c r="N142" s="179"/>
      <c r="O142" s="179"/>
      <c r="P142" s="179"/>
      <c r="Q142" s="61"/>
      <c r="R142" s="49"/>
      <c r="S142" s="49"/>
      <c r="T142" s="49"/>
      <c r="U142" s="49"/>
      <c r="V142" s="49"/>
      <c r="W142" s="49"/>
      <c r="X142" s="49"/>
      <c r="Y142" s="49"/>
    </row>
    <row r="143" spans="1:25">
      <c r="A143" s="50"/>
      <c r="B143" s="302" t="s">
        <v>49</v>
      </c>
      <c r="C143" s="181">
        <v>45708</v>
      </c>
      <c r="D143" s="304"/>
      <c r="E143" s="53"/>
      <c r="F143" s="49"/>
      <c r="G143" s="55"/>
      <c r="H143" s="82" t="s">
        <v>49</v>
      </c>
      <c r="I143" s="181">
        <v>45692</v>
      </c>
      <c r="J143" s="84"/>
      <c r="K143" s="56"/>
      <c r="L143" s="49"/>
      <c r="M143" s="60"/>
      <c r="N143" s="179"/>
      <c r="O143" s="179"/>
      <c r="P143" s="179"/>
      <c r="Q143" s="61"/>
      <c r="R143" s="49"/>
      <c r="S143" s="49"/>
      <c r="T143" s="49"/>
      <c r="U143" s="49"/>
      <c r="V143" s="49"/>
      <c r="W143" s="49"/>
      <c r="X143" s="49"/>
      <c r="Y143" s="49"/>
    </row>
    <row r="144" spans="1:25" ht="15.75" thickBot="1">
      <c r="A144" s="50"/>
      <c r="B144" s="305" t="s">
        <v>50</v>
      </c>
      <c r="C144" s="306">
        <v>45708</v>
      </c>
      <c r="D144" s="307"/>
      <c r="E144" s="53"/>
      <c r="F144" s="49"/>
      <c r="G144" s="55"/>
      <c r="H144" s="85" t="s">
        <v>50</v>
      </c>
      <c r="I144" s="86">
        <v>45693</v>
      </c>
      <c r="J144" s="87"/>
      <c r="K144" s="56"/>
      <c r="L144" s="49"/>
      <c r="M144" s="60"/>
      <c r="N144" s="179"/>
      <c r="O144" s="179"/>
      <c r="P144" s="179"/>
      <c r="Q144" s="61"/>
      <c r="R144" s="49"/>
      <c r="S144" s="49"/>
      <c r="T144" s="49"/>
      <c r="U144" s="49"/>
      <c r="V144" s="49"/>
      <c r="W144" s="49"/>
      <c r="X144" s="49"/>
      <c r="Y144" s="49"/>
    </row>
    <row r="145" spans="1:25" ht="15.75" thickTop="1">
      <c r="A145" s="50"/>
      <c r="B145" s="177"/>
      <c r="C145" s="177"/>
      <c r="D145" s="177"/>
      <c r="E145" s="53"/>
      <c r="F145" s="49"/>
      <c r="G145" s="55"/>
      <c r="H145" s="178"/>
      <c r="I145" s="178"/>
      <c r="J145" s="178"/>
      <c r="K145" s="56"/>
      <c r="L145" s="49"/>
      <c r="M145" s="60"/>
      <c r="N145" s="179"/>
      <c r="O145" s="179"/>
      <c r="P145" s="179"/>
      <c r="Q145" s="61"/>
      <c r="R145" s="49"/>
      <c r="S145" s="49"/>
      <c r="T145" s="49"/>
      <c r="U145" s="49"/>
      <c r="V145" s="49"/>
      <c r="W145" s="49"/>
      <c r="X145" s="49"/>
      <c r="Y145" s="49"/>
    </row>
    <row r="146" spans="1:25">
      <c r="A146" s="50"/>
      <c r="B146" s="498" t="s">
        <v>179</v>
      </c>
      <c r="C146" s="499"/>
      <c r="D146" s="500"/>
      <c r="E146" s="53"/>
      <c r="F146" s="49"/>
      <c r="G146" s="55"/>
      <c r="H146" s="513" t="s">
        <v>157</v>
      </c>
      <c r="I146" s="514"/>
      <c r="J146" s="515"/>
      <c r="K146" s="56"/>
      <c r="L146" s="49"/>
      <c r="M146" s="60"/>
      <c r="N146" s="179"/>
      <c r="O146" s="179"/>
      <c r="P146" s="179"/>
      <c r="Q146" s="61"/>
      <c r="R146" s="49"/>
      <c r="S146" s="49"/>
      <c r="T146" s="49"/>
      <c r="U146" s="49"/>
      <c r="V146" s="49"/>
      <c r="W146" s="49"/>
      <c r="X146" s="49"/>
      <c r="Y146" s="49"/>
    </row>
    <row r="147" spans="1:25">
      <c r="A147" s="50"/>
      <c r="B147" s="302" t="s">
        <v>106</v>
      </c>
      <c r="C147" s="180" t="s">
        <v>210</v>
      </c>
      <c r="D147" s="303"/>
      <c r="E147" s="53"/>
      <c r="F147" s="49"/>
      <c r="G147" s="55"/>
      <c r="H147" s="119" t="s">
        <v>106</v>
      </c>
      <c r="I147" s="180" t="s">
        <v>214</v>
      </c>
      <c r="J147" s="120"/>
      <c r="K147" s="56"/>
      <c r="L147" s="49"/>
      <c r="M147" s="60"/>
      <c r="N147" s="179"/>
      <c r="O147" s="179"/>
      <c r="P147" s="179"/>
      <c r="Q147" s="61"/>
      <c r="R147" s="49"/>
      <c r="S147" s="49"/>
      <c r="T147" s="49"/>
      <c r="U147" s="49"/>
      <c r="V147" s="49"/>
      <c r="W147" s="49"/>
      <c r="X147" s="49"/>
      <c r="Y147" s="49"/>
    </row>
    <row r="148" spans="1:25">
      <c r="A148" s="50"/>
      <c r="B148" s="302" t="s">
        <v>108</v>
      </c>
      <c r="C148" s="180" t="s">
        <v>99</v>
      </c>
      <c r="D148" s="303"/>
      <c r="E148" s="53"/>
      <c r="F148" s="49"/>
      <c r="G148" s="55"/>
      <c r="H148" s="119" t="s">
        <v>108</v>
      </c>
      <c r="I148" s="180" t="s">
        <v>99</v>
      </c>
      <c r="J148" s="120"/>
      <c r="K148" s="56"/>
      <c r="L148" s="49"/>
      <c r="M148" s="60"/>
      <c r="N148" s="179"/>
      <c r="O148" s="179"/>
      <c r="P148" s="179"/>
      <c r="Q148" s="61"/>
      <c r="R148" s="49"/>
      <c r="S148" s="49"/>
      <c r="T148" s="49"/>
      <c r="U148" s="49"/>
      <c r="V148" s="49"/>
      <c r="W148" s="49"/>
      <c r="X148" s="49"/>
      <c r="Y148" s="49"/>
    </row>
    <row r="149" spans="1:25">
      <c r="A149" s="50"/>
      <c r="B149" s="302" t="s">
        <v>48</v>
      </c>
      <c r="C149" s="180" t="s">
        <v>102</v>
      </c>
      <c r="D149" s="304"/>
      <c r="E149" s="53"/>
      <c r="F149" s="49"/>
      <c r="G149" s="55"/>
      <c r="H149" s="119" t="s">
        <v>48</v>
      </c>
      <c r="I149" s="180" t="s">
        <v>39</v>
      </c>
      <c r="J149" s="121"/>
      <c r="K149" s="56"/>
      <c r="L149" s="49"/>
      <c r="M149" s="60"/>
      <c r="N149" s="179"/>
      <c r="O149" s="179"/>
      <c r="P149" s="179"/>
      <c r="Q149" s="61"/>
      <c r="R149" s="49"/>
      <c r="S149" s="49"/>
      <c r="T149" s="49"/>
      <c r="U149" s="49"/>
      <c r="V149" s="49"/>
      <c r="W149" s="49"/>
      <c r="X149" s="49"/>
      <c r="Y149" s="49"/>
    </row>
    <row r="150" spans="1:25">
      <c r="A150" s="50"/>
      <c r="B150" s="302" t="s">
        <v>49</v>
      </c>
      <c r="C150" s="181">
        <v>45700</v>
      </c>
      <c r="D150" s="304"/>
      <c r="E150" s="53"/>
      <c r="F150" s="49"/>
      <c r="G150" s="55"/>
      <c r="H150" s="119" t="s">
        <v>49</v>
      </c>
      <c r="I150" s="181">
        <v>45694</v>
      </c>
      <c r="J150" s="121"/>
      <c r="K150" s="56"/>
      <c r="L150" s="49"/>
      <c r="M150" s="60"/>
      <c r="N150" s="179"/>
      <c r="O150" s="179"/>
      <c r="P150" s="179"/>
      <c r="Q150" s="61"/>
      <c r="R150" s="49"/>
      <c r="S150" s="49"/>
      <c r="T150" s="49"/>
      <c r="U150" s="49"/>
      <c r="V150" s="49"/>
      <c r="W150" s="49"/>
      <c r="X150" s="49"/>
      <c r="Y150" s="49"/>
    </row>
    <row r="151" spans="1:25">
      <c r="A151" s="50"/>
      <c r="B151" s="305" t="s">
        <v>50</v>
      </c>
      <c r="C151" s="306">
        <v>45701</v>
      </c>
      <c r="D151" s="307"/>
      <c r="E151" s="53"/>
      <c r="F151" s="49"/>
      <c r="G151" s="55"/>
      <c r="H151" s="122" t="s">
        <v>50</v>
      </c>
      <c r="I151" s="123">
        <v>45699</v>
      </c>
      <c r="J151" s="124"/>
      <c r="K151" s="56"/>
      <c r="L151" s="49"/>
      <c r="M151" s="60"/>
      <c r="N151" s="179"/>
      <c r="O151" s="179"/>
      <c r="P151" s="179"/>
      <c r="Q151" s="61"/>
      <c r="R151" s="49"/>
      <c r="S151" s="49"/>
      <c r="T151" s="49"/>
      <c r="U151" s="49"/>
      <c r="V151" s="49"/>
      <c r="W151" s="49"/>
      <c r="X151" s="49"/>
      <c r="Y151" s="49"/>
    </row>
    <row r="152" spans="1:25" ht="15.75" thickBot="1">
      <c r="A152" s="50"/>
      <c r="B152" s="177"/>
      <c r="C152" s="177"/>
      <c r="D152" s="177"/>
      <c r="E152" s="53"/>
      <c r="F152" s="49"/>
      <c r="G152" s="55"/>
      <c r="H152" s="178"/>
      <c r="I152" s="178"/>
      <c r="J152" s="178"/>
      <c r="K152" s="56"/>
      <c r="L152" s="49"/>
      <c r="M152" s="60"/>
      <c r="N152" s="179"/>
      <c r="O152" s="179"/>
      <c r="P152" s="179"/>
      <c r="Q152" s="61"/>
      <c r="R152" s="49"/>
      <c r="S152" s="49"/>
      <c r="T152" s="49"/>
      <c r="U152" s="49"/>
      <c r="V152" s="49"/>
      <c r="W152" s="49"/>
      <c r="X152" s="49"/>
      <c r="Y152" s="49"/>
    </row>
    <row r="153" spans="1:25" ht="15.75" thickTop="1">
      <c r="A153" s="50"/>
      <c r="B153" s="498" t="s">
        <v>179</v>
      </c>
      <c r="C153" s="499"/>
      <c r="D153" s="500"/>
      <c r="E153" s="53"/>
      <c r="F153" s="49"/>
      <c r="G153" s="55"/>
      <c r="H153" s="603" t="s">
        <v>159</v>
      </c>
      <c r="I153" s="604"/>
      <c r="J153" s="512"/>
      <c r="K153" s="56"/>
      <c r="L153" s="49"/>
      <c r="M153" s="60"/>
      <c r="N153" s="179"/>
      <c r="O153" s="179"/>
      <c r="P153" s="179"/>
      <c r="Q153" s="61"/>
      <c r="R153" s="49"/>
      <c r="S153" s="49"/>
      <c r="T153" s="49"/>
      <c r="U153" s="49"/>
      <c r="V153" s="49"/>
      <c r="W153" s="49"/>
      <c r="X153" s="49"/>
      <c r="Y153" s="49"/>
    </row>
    <row r="154" spans="1:25">
      <c r="A154" s="50"/>
      <c r="B154" s="302" t="s">
        <v>106</v>
      </c>
      <c r="C154" s="180" t="s">
        <v>214</v>
      </c>
      <c r="D154" s="303"/>
      <c r="E154" s="53"/>
      <c r="F154" s="49"/>
      <c r="G154" s="55"/>
      <c r="H154" s="82" t="s">
        <v>106</v>
      </c>
      <c r="I154" s="180" t="s">
        <v>27</v>
      </c>
      <c r="J154" s="83"/>
      <c r="K154" s="56"/>
      <c r="L154" s="49"/>
      <c r="M154" s="60"/>
      <c r="N154" s="179"/>
      <c r="O154" s="179"/>
      <c r="P154" s="179"/>
      <c r="Q154" s="61"/>
      <c r="R154" s="49"/>
      <c r="S154" s="49"/>
      <c r="T154" s="49"/>
      <c r="U154" s="49"/>
      <c r="V154" s="49"/>
      <c r="W154" s="49"/>
      <c r="X154" s="49"/>
      <c r="Y154" s="49"/>
    </row>
    <row r="155" spans="1:25">
      <c r="A155" s="50"/>
      <c r="B155" s="302" t="s">
        <v>108</v>
      </c>
      <c r="C155" s="180" t="s">
        <v>99</v>
      </c>
      <c r="D155" s="303"/>
      <c r="E155" s="53"/>
      <c r="F155" s="49"/>
      <c r="G155" s="55"/>
      <c r="H155" s="82" t="s">
        <v>108</v>
      </c>
      <c r="I155" s="180" t="s">
        <v>99</v>
      </c>
      <c r="J155" s="83"/>
      <c r="K155" s="56"/>
      <c r="L155" s="49"/>
      <c r="M155" s="60"/>
      <c r="N155" s="179"/>
      <c r="O155" s="179"/>
      <c r="P155" s="179"/>
      <c r="Q155" s="61"/>
      <c r="R155" s="49"/>
      <c r="S155" s="49"/>
      <c r="T155" s="49"/>
      <c r="U155" s="49"/>
      <c r="V155" s="49"/>
      <c r="W155" s="49"/>
      <c r="X155" s="49"/>
      <c r="Y155" s="49"/>
    </row>
    <row r="156" spans="1:25">
      <c r="A156" s="50"/>
      <c r="B156" s="302" t="s">
        <v>48</v>
      </c>
      <c r="C156" s="180" t="s">
        <v>39</v>
      </c>
      <c r="D156" s="304"/>
      <c r="E156" s="53"/>
      <c r="F156" s="49"/>
      <c r="G156" s="55"/>
      <c r="H156" s="82" t="s">
        <v>48</v>
      </c>
      <c r="I156" s="180" t="s">
        <v>25</v>
      </c>
      <c r="J156" s="84"/>
      <c r="K156" s="56"/>
      <c r="L156" s="49"/>
      <c r="M156" s="60"/>
      <c r="N156" s="179"/>
      <c r="O156" s="179"/>
      <c r="P156" s="179"/>
      <c r="Q156" s="61"/>
      <c r="R156" s="49"/>
      <c r="S156" s="49"/>
      <c r="T156" s="49"/>
      <c r="U156" s="49"/>
      <c r="V156" s="49"/>
      <c r="W156" s="49"/>
      <c r="X156" s="49"/>
      <c r="Y156" s="49"/>
    </row>
    <row r="157" spans="1:25">
      <c r="A157" s="50"/>
      <c r="B157" s="302" t="s">
        <v>49</v>
      </c>
      <c r="C157" s="181">
        <v>45702</v>
      </c>
      <c r="D157" s="304"/>
      <c r="E157" s="53"/>
      <c r="F157" s="49"/>
      <c r="G157" s="55"/>
      <c r="H157" s="82" t="s">
        <v>49</v>
      </c>
      <c r="I157" s="181">
        <v>45695</v>
      </c>
      <c r="J157" s="84"/>
      <c r="K157" s="56"/>
      <c r="L157" s="49"/>
      <c r="M157" s="60"/>
      <c r="N157" s="179"/>
      <c r="O157" s="179"/>
      <c r="P157" s="179"/>
      <c r="Q157" s="61"/>
      <c r="R157" s="49"/>
      <c r="S157" s="49"/>
      <c r="T157" s="49"/>
      <c r="U157" s="49"/>
      <c r="V157" s="49"/>
      <c r="W157" s="49"/>
      <c r="X157" s="49"/>
      <c r="Y157" s="49"/>
    </row>
    <row r="158" spans="1:25" ht="15.75" thickBot="1">
      <c r="A158" s="50"/>
      <c r="B158" s="305" t="s">
        <v>50</v>
      </c>
      <c r="C158" s="306">
        <v>45707</v>
      </c>
      <c r="D158" s="307"/>
      <c r="E158" s="53"/>
      <c r="F158" s="49"/>
      <c r="G158" s="55"/>
      <c r="H158" s="85" t="s">
        <v>50</v>
      </c>
      <c r="I158" s="86">
        <v>45695</v>
      </c>
      <c r="J158" s="87"/>
      <c r="K158" s="56"/>
      <c r="L158" s="49"/>
      <c r="M158" s="60"/>
      <c r="N158" s="179"/>
      <c r="O158" s="179"/>
      <c r="P158" s="179"/>
      <c r="Q158" s="61"/>
      <c r="R158" s="49"/>
      <c r="S158" s="49"/>
      <c r="T158" s="49"/>
      <c r="U158" s="49"/>
      <c r="V158" s="49"/>
      <c r="W158" s="49"/>
      <c r="X158" s="49"/>
      <c r="Y158" s="49"/>
    </row>
    <row r="159" spans="1:25" ht="16.5" thickTop="1" thickBot="1">
      <c r="A159" s="50"/>
      <c r="B159" s="177"/>
      <c r="C159" s="177"/>
      <c r="D159" s="177"/>
      <c r="E159" s="53"/>
      <c r="F159" s="49"/>
      <c r="G159" s="55"/>
      <c r="H159" s="178"/>
      <c r="I159" s="178"/>
      <c r="J159" s="178"/>
      <c r="K159" s="56"/>
      <c r="L159" s="49"/>
      <c r="M159" s="60"/>
      <c r="N159" s="179"/>
      <c r="O159" s="179"/>
      <c r="P159" s="179"/>
      <c r="Q159" s="61"/>
      <c r="R159" s="49"/>
      <c r="S159" s="49"/>
      <c r="T159" s="49"/>
      <c r="U159" s="49"/>
      <c r="V159" s="49"/>
      <c r="W159" s="49"/>
      <c r="X159" s="49"/>
      <c r="Y159" s="49"/>
    </row>
    <row r="160" spans="1:25" ht="15.75" thickTop="1">
      <c r="A160" s="50"/>
      <c r="B160" s="501" t="s">
        <v>181</v>
      </c>
      <c r="C160" s="502"/>
      <c r="D160" s="503"/>
      <c r="E160" s="53"/>
      <c r="F160" s="49"/>
      <c r="G160" s="55"/>
      <c r="H160" s="603" t="s">
        <v>159</v>
      </c>
      <c r="I160" s="604"/>
      <c r="J160" s="512"/>
      <c r="K160" s="56"/>
      <c r="L160" s="49"/>
      <c r="M160" s="60"/>
      <c r="N160" s="179"/>
      <c r="O160" s="179"/>
      <c r="P160" s="179"/>
      <c r="Q160" s="61"/>
      <c r="R160" s="49"/>
      <c r="S160" s="49"/>
      <c r="T160" s="49"/>
      <c r="U160" s="49"/>
      <c r="V160" s="49"/>
      <c r="W160" s="49"/>
      <c r="X160" s="49"/>
      <c r="Y160" s="49"/>
    </row>
    <row r="161" spans="1:25">
      <c r="A161" s="50"/>
      <c r="B161" s="230" t="s">
        <v>106</v>
      </c>
      <c r="C161" s="180" t="s">
        <v>27</v>
      </c>
      <c r="D161" s="231"/>
      <c r="E161" s="53"/>
      <c r="F161" s="49"/>
      <c r="G161" s="55"/>
      <c r="H161" s="82" t="s">
        <v>106</v>
      </c>
      <c r="I161" s="180" t="s">
        <v>210</v>
      </c>
      <c r="J161" s="83"/>
      <c r="K161" s="56"/>
      <c r="L161" s="49"/>
      <c r="M161" s="60"/>
      <c r="N161" s="179"/>
      <c r="O161" s="179"/>
      <c r="P161" s="179"/>
      <c r="Q161" s="61"/>
      <c r="R161" s="49"/>
      <c r="S161" s="49"/>
      <c r="T161" s="49"/>
      <c r="U161" s="49"/>
      <c r="V161" s="49"/>
      <c r="W161" s="49"/>
      <c r="X161" s="49"/>
      <c r="Y161" s="49"/>
    </row>
    <row r="162" spans="1:25">
      <c r="A162" s="50"/>
      <c r="B162" s="230" t="s">
        <v>108</v>
      </c>
      <c r="C162" s="180" t="s">
        <v>99</v>
      </c>
      <c r="D162" s="231"/>
      <c r="E162" s="53"/>
      <c r="F162" s="49"/>
      <c r="G162" s="55"/>
      <c r="H162" s="82" t="s">
        <v>108</v>
      </c>
      <c r="I162" s="180" t="s">
        <v>99</v>
      </c>
      <c r="J162" s="83"/>
      <c r="K162" s="56"/>
      <c r="L162" s="49"/>
      <c r="M162" s="60"/>
      <c r="N162" s="179"/>
      <c r="O162" s="179"/>
      <c r="P162" s="179"/>
      <c r="Q162" s="61"/>
      <c r="R162" s="49"/>
      <c r="S162" s="49"/>
      <c r="T162" s="49"/>
      <c r="U162" s="49"/>
      <c r="V162" s="49"/>
      <c r="W162" s="49"/>
      <c r="X162" s="49"/>
      <c r="Y162" s="49"/>
    </row>
    <row r="163" spans="1:25">
      <c r="A163" s="50"/>
      <c r="B163" s="230" t="s">
        <v>48</v>
      </c>
      <c r="C163" s="180" t="s">
        <v>25</v>
      </c>
      <c r="D163" s="232"/>
      <c r="E163" s="53"/>
      <c r="F163" s="49"/>
      <c r="G163" s="55"/>
      <c r="H163" s="82" t="s">
        <v>48</v>
      </c>
      <c r="I163" s="180" t="s">
        <v>102</v>
      </c>
      <c r="J163" s="84"/>
      <c r="K163" s="56"/>
      <c r="L163" s="49"/>
      <c r="M163" s="60"/>
      <c r="N163" s="179"/>
      <c r="O163" s="179"/>
      <c r="P163" s="179"/>
      <c r="Q163" s="61"/>
      <c r="R163" s="49"/>
      <c r="S163" s="49"/>
      <c r="T163" s="49"/>
      <c r="U163" s="49"/>
      <c r="V163" s="49"/>
      <c r="W163" s="49"/>
      <c r="X163" s="49"/>
      <c r="Y163" s="49"/>
    </row>
    <row r="164" spans="1:25">
      <c r="A164" s="50"/>
      <c r="B164" s="230" t="s">
        <v>49</v>
      </c>
      <c r="C164" s="181">
        <v>45709</v>
      </c>
      <c r="D164" s="232"/>
      <c r="E164" s="53"/>
      <c r="F164" s="49"/>
      <c r="G164" s="55"/>
      <c r="H164" s="82" t="s">
        <v>49</v>
      </c>
      <c r="I164" s="181">
        <v>45692</v>
      </c>
      <c r="J164" s="84"/>
      <c r="K164" s="56"/>
      <c r="L164" s="49"/>
      <c r="M164" s="60"/>
      <c r="N164" s="179"/>
      <c r="O164" s="179"/>
      <c r="P164" s="179"/>
      <c r="Q164" s="61"/>
      <c r="R164" s="49"/>
      <c r="S164" s="49"/>
      <c r="T164" s="49"/>
      <c r="U164" s="49"/>
      <c r="V164" s="49"/>
      <c r="W164" s="49"/>
      <c r="X164" s="49"/>
      <c r="Y164" s="49"/>
    </row>
    <row r="165" spans="1:25" ht="15.75" thickBot="1">
      <c r="A165" s="50"/>
      <c r="B165" s="233" t="s">
        <v>50</v>
      </c>
      <c r="C165" s="234">
        <v>45709</v>
      </c>
      <c r="D165" s="235"/>
      <c r="E165" s="53"/>
      <c r="F165" s="49"/>
      <c r="G165" s="55"/>
      <c r="H165" s="85" t="s">
        <v>50</v>
      </c>
      <c r="I165" s="86">
        <v>45693</v>
      </c>
      <c r="J165" s="87"/>
      <c r="K165" s="56"/>
      <c r="L165" s="49"/>
      <c r="M165" s="60"/>
      <c r="N165" s="179"/>
      <c r="O165" s="179"/>
      <c r="P165" s="179"/>
      <c r="Q165" s="61"/>
      <c r="R165" s="49"/>
      <c r="S165" s="49"/>
      <c r="T165" s="49"/>
      <c r="U165" s="49"/>
      <c r="V165" s="49"/>
      <c r="W165" s="49"/>
      <c r="X165" s="49"/>
      <c r="Y165" s="49"/>
    </row>
    <row r="166" spans="1:25" ht="15.75" thickTop="1">
      <c r="A166" s="50"/>
      <c r="B166" s="177"/>
      <c r="C166" s="177"/>
      <c r="D166" s="177"/>
      <c r="E166" s="53"/>
      <c r="F166" s="49"/>
      <c r="G166" s="55"/>
      <c r="H166" s="178"/>
      <c r="I166" s="178"/>
      <c r="J166" s="178"/>
      <c r="K166" s="56"/>
      <c r="L166" s="49"/>
      <c r="M166" s="60"/>
      <c r="N166" s="179"/>
      <c r="O166" s="179"/>
      <c r="P166" s="179"/>
      <c r="Q166" s="61"/>
      <c r="R166" s="49"/>
      <c r="S166" s="49"/>
      <c r="T166" s="49"/>
      <c r="U166" s="49"/>
      <c r="V166" s="49"/>
      <c r="W166" s="49"/>
      <c r="X166" s="49"/>
      <c r="Y166" s="49"/>
    </row>
    <row r="167" spans="1:25">
      <c r="A167" s="50"/>
      <c r="B167" s="501" t="s">
        <v>181</v>
      </c>
      <c r="C167" s="502"/>
      <c r="D167" s="503"/>
      <c r="E167" s="53"/>
      <c r="F167" s="49"/>
      <c r="G167" s="55"/>
      <c r="H167" s="528" t="s">
        <v>159</v>
      </c>
      <c r="I167" s="529"/>
      <c r="J167" s="530"/>
      <c r="K167" s="56"/>
      <c r="L167" s="49"/>
      <c r="M167" s="60"/>
      <c r="N167" s="179"/>
      <c r="O167" s="179"/>
      <c r="P167" s="179"/>
      <c r="Q167" s="61"/>
      <c r="R167" s="49"/>
      <c r="S167" s="49"/>
      <c r="T167" s="49"/>
      <c r="U167" s="49"/>
      <c r="V167" s="49"/>
      <c r="W167" s="49"/>
      <c r="X167" s="49"/>
      <c r="Y167" s="49"/>
    </row>
    <row r="168" spans="1:25">
      <c r="A168" s="50"/>
      <c r="B168" s="230" t="s">
        <v>106</v>
      </c>
      <c r="C168" s="180" t="s">
        <v>210</v>
      </c>
      <c r="D168" s="231"/>
      <c r="E168" s="53"/>
      <c r="F168" s="49"/>
      <c r="G168" s="55"/>
      <c r="H168" s="182" t="s">
        <v>106</v>
      </c>
      <c r="I168" s="180" t="s">
        <v>214</v>
      </c>
      <c r="J168" s="183"/>
      <c r="K168" s="56"/>
      <c r="L168" s="49"/>
      <c r="M168" s="60"/>
      <c r="N168" s="179"/>
      <c r="O168" s="179"/>
      <c r="P168" s="179"/>
      <c r="Q168" s="61"/>
      <c r="R168" s="49"/>
      <c r="S168" s="49"/>
      <c r="T168" s="49"/>
      <c r="U168" s="49"/>
      <c r="V168" s="49"/>
      <c r="W168" s="49"/>
      <c r="X168" s="49"/>
      <c r="Y168" s="49"/>
    </row>
    <row r="169" spans="1:25">
      <c r="A169" s="50"/>
      <c r="B169" s="230" t="s">
        <v>108</v>
      </c>
      <c r="C169" s="180" t="s">
        <v>99</v>
      </c>
      <c r="D169" s="231"/>
      <c r="E169" s="53"/>
      <c r="F169" s="49"/>
      <c r="G169" s="55"/>
      <c r="H169" s="182" t="s">
        <v>108</v>
      </c>
      <c r="I169" s="180" t="s">
        <v>99</v>
      </c>
      <c r="J169" s="183"/>
      <c r="K169" s="56"/>
      <c r="L169" s="49"/>
      <c r="M169" s="60"/>
      <c r="N169" s="179"/>
      <c r="O169" s="179"/>
      <c r="P169" s="179"/>
      <c r="Q169" s="61"/>
      <c r="R169" s="49"/>
      <c r="S169" s="49"/>
      <c r="T169" s="49"/>
      <c r="U169" s="49"/>
      <c r="V169" s="49"/>
      <c r="W169" s="49"/>
      <c r="X169" s="49"/>
      <c r="Y169" s="49"/>
    </row>
    <row r="170" spans="1:25">
      <c r="A170" s="50"/>
      <c r="B170" s="230" t="s">
        <v>48</v>
      </c>
      <c r="C170" s="180" t="s">
        <v>102</v>
      </c>
      <c r="D170" s="232"/>
      <c r="E170" s="53"/>
      <c r="F170" s="49"/>
      <c r="G170" s="55"/>
      <c r="H170" s="182" t="s">
        <v>48</v>
      </c>
      <c r="I170" s="180" t="s">
        <v>39</v>
      </c>
      <c r="J170" s="184"/>
      <c r="K170" s="56"/>
      <c r="L170" s="49"/>
      <c r="M170" s="60"/>
      <c r="N170" s="179"/>
      <c r="O170" s="179"/>
      <c r="P170" s="179"/>
      <c r="Q170" s="61"/>
      <c r="R170" s="49"/>
      <c r="S170" s="49"/>
      <c r="T170" s="49"/>
      <c r="U170" s="49"/>
      <c r="V170" s="49"/>
      <c r="W170" s="49"/>
      <c r="X170" s="49"/>
      <c r="Y170" s="49"/>
    </row>
    <row r="171" spans="1:25">
      <c r="A171" s="50"/>
      <c r="B171" s="230" t="s">
        <v>49</v>
      </c>
      <c r="C171" s="181">
        <v>45700</v>
      </c>
      <c r="D171" s="232"/>
      <c r="E171" s="53"/>
      <c r="F171" s="49"/>
      <c r="G171" s="55"/>
      <c r="H171" s="182" t="s">
        <v>49</v>
      </c>
      <c r="I171" s="181">
        <v>45694</v>
      </c>
      <c r="J171" s="184"/>
      <c r="K171" s="56"/>
      <c r="L171" s="49"/>
      <c r="M171" s="60"/>
      <c r="N171" s="179"/>
      <c r="O171" s="179"/>
      <c r="P171" s="179"/>
      <c r="Q171" s="61"/>
      <c r="R171" s="49"/>
      <c r="S171" s="49"/>
      <c r="T171" s="49"/>
      <c r="U171" s="49"/>
      <c r="V171" s="49"/>
      <c r="W171" s="49"/>
      <c r="X171" s="49"/>
      <c r="Y171" s="49"/>
    </row>
    <row r="172" spans="1:25">
      <c r="A172" s="50"/>
      <c r="B172" s="233" t="s">
        <v>50</v>
      </c>
      <c r="C172" s="234">
        <v>45701</v>
      </c>
      <c r="D172" s="235"/>
      <c r="E172" s="53"/>
      <c r="F172" s="49"/>
      <c r="G172" s="55"/>
      <c r="H172" s="185" t="s">
        <v>50</v>
      </c>
      <c r="I172" s="186">
        <v>45699</v>
      </c>
      <c r="J172" s="187"/>
      <c r="K172" s="56"/>
      <c r="L172" s="49"/>
      <c r="M172" s="60"/>
      <c r="N172" s="179"/>
      <c r="O172" s="179"/>
      <c r="P172" s="179"/>
      <c r="Q172" s="61"/>
      <c r="R172" s="49"/>
      <c r="S172" s="49"/>
      <c r="T172" s="49"/>
      <c r="U172" s="49"/>
      <c r="V172" s="49"/>
      <c r="W172" s="49"/>
      <c r="X172" s="49"/>
      <c r="Y172" s="49"/>
    </row>
    <row r="173" spans="1:25" ht="15.75" thickBot="1">
      <c r="A173" s="50"/>
      <c r="B173" s="177"/>
      <c r="C173" s="177"/>
      <c r="D173" s="177"/>
      <c r="E173" s="53"/>
      <c r="F173" s="49"/>
      <c r="G173" s="55"/>
      <c r="H173" s="178"/>
      <c r="I173" s="178"/>
      <c r="J173" s="178"/>
      <c r="K173" s="56"/>
      <c r="L173" s="49"/>
      <c r="M173" s="60"/>
      <c r="N173" s="179"/>
      <c r="O173" s="179"/>
      <c r="P173" s="179"/>
      <c r="Q173" s="61"/>
      <c r="R173" s="49"/>
      <c r="S173" s="49"/>
      <c r="T173" s="49"/>
      <c r="U173" s="49"/>
      <c r="V173" s="49"/>
      <c r="W173" s="49"/>
      <c r="X173" s="49"/>
      <c r="Y173" s="49"/>
    </row>
    <row r="174" spans="1:25" ht="15.75" thickTop="1">
      <c r="A174" s="50"/>
      <c r="B174" s="501" t="s">
        <v>181</v>
      </c>
      <c r="C174" s="502"/>
      <c r="D174" s="503"/>
      <c r="E174" s="53"/>
      <c r="F174" s="49"/>
      <c r="G174" s="55"/>
      <c r="H174" s="531" t="s">
        <v>162</v>
      </c>
      <c r="I174" s="532"/>
      <c r="J174" s="512"/>
      <c r="K174" s="56"/>
      <c r="L174" s="49"/>
      <c r="M174" s="60"/>
      <c r="N174" s="179"/>
      <c r="O174" s="179"/>
      <c r="P174" s="179"/>
      <c r="Q174" s="61"/>
      <c r="R174" s="49"/>
      <c r="S174" s="49"/>
      <c r="T174" s="49"/>
      <c r="U174" s="49"/>
      <c r="V174" s="49"/>
      <c r="W174" s="49"/>
      <c r="X174" s="49"/>
      <c r="Y174" s="49"/>
    </row>
    <row r="175" spans="1:25">
      <c r="A175" s="50"/>
      <c r="B175" s="230" t="s">
        <v>106</v>
      </c>
      <c r="C175" s="180" t="s">
        <v>214</v>
      </c>
      <c r="D175" s="231"/>
      <c r="E175" s="53"/>
      <c r="F175" s="49"/>
      <c r="G175" s="55"/>
      <c r="H175" s="82" t="s">
        <v>106</v>
      </c>
      <c r="I175" s="180" t="s">
        <v>210</v>
      </c>
      <c r="J175" s="83"/>
      <c r="K175" s="56"/>
      <c r="L175" s="49"/>
      <c r="M175" s="60"/>
      <c r="N175" s="179"/>
      <c r="O175" s="179"/>
      <c r="P175" s="179"/>
      <c r="Q175" s="61"/>
      <c r="R175" s="49"/>
      <c r="S175" s="49"/>
      <c r="T175" s="49"/>
      <c r="U175" s="49"/>
      <c r="V175" s="49"/>
      <c r="W175" s="49"/>
      <c r="X175" s="49"/>
      <c r="Y175" s="49"/>
    </row>
    <row r="176" spans="1:25">
      <c r="A176" s="50"/>
      <c r="B176" s="230" t="s">
        <v>108</v>
      </c>
      <c r="C176" s="180" t="s">
        <v>99</v>
      </c>
      <c r="D176" s="231"/>
      <c r="E176" s="53"/>
      <c r="F176" s="49"/>
      <c r="G176" s="55"/>
      <c r="H176" s="82" t="s">
        <v>108</v>
      </c>
      <c r="I176" s="180" t="s">
        <v>99</v>
      </c>
      <c r="J176" s="83"/>
      <c r="K176" s="56"/>
      <c r="L176" s="49"/>
      <c r="M176" s="60"/>
      <c r="N176" s="179"/>
      <c r="O176" s="179"/>
      <c r="P176" s="179"/>
      <c r="Q176" s="61"/>
      <c r="R176" s="49"/>
      <c r="S176" s="49"/>
      <c r="T176" s="49"/>
      <c r="U176" s="49"/>
      <c r="V176" s="49"/>
      <c r="W176" s="49"/>
      <c r="X176" s="49"/>
      <c r="Y176" s="49"/>
    </row>
    <row r="177" spans="1:25">
      <c r="A177" s="50"/>
      <c r="B177" s="230" t="s">
        <v>48</v>
      </c>
      <c r="C177" s="180" t="s">
        <v>39</v>
      </c>
      <c r="D177" s="232"/>
      <c r="E177" s="53"/>
      <c r="F177" s="49"/>
      <c r="G177" s="55"/>
      <c r="H177" s="82" t="s">
        <v>48</v>
      </c>
      <c r="I177" s="180" t="s">
        <v>102</v>
      </c>
      <c r="J177" s="84"/>
      <c r="K177" s="56"/>
      <c r="L177" s="49"/>
      <c r="M177" s="60"/>
      <c r="N177" s="179"/>
      <c r="O177" s="179"/>
      <c r="P177" s="179"/>
      <c r="Q177" s="61"/>
      <c r="R177" s="49"/>
      <c r="S177" s="49"/>
      <c r="T177" s="49"/>
      <c r="U177" s="49"/>
      <c r="V177" s="49"/>
      <c r="W177" s="49"/>
      <c r="X177" s="49"/>
      <c r="Y177" s="49"/>
    </row>
    <row r="178" spans="1:25">
      <c r="A178" s="50"/>
      <c r="B178" s="230" t="s">
        <v>49</v>
      </c>
      <c r="C178" s="181">
        <v>45702</v>
      </c>
      <c r="D178" s="232"/>
      <c r="E178" s="53"/>
      <c r="F178" s="49"/>
      <c r="G178" s="55"/>
      <c r="H178" s="82" t="s">
        <v>49</v>
      </c>
      <c r="I178" s="181">
        <v>45692</v>
      </c>
      <c r="J178" s="84"/>
      <c r="K178" s="56"/>
      <c r="L178" s="49"/>
      <c r="M178" s="60"/>
      <c r="N178" s="179"/>
      <c r="O178" s="179"/>
      <c r="P178" s="179"/>
      <c r="Q178" s="61"/>
      <c r="R178" s="49"/>
      <c r="S178" s="49"/>
      <c r="T178" s="49"/>
      <c r="U178" s="49"/>
      <c r="V178" s="49"/>
      <c r="W178" s="49"/>
      <c r="X178" s="49"/>
      <c r="Y178" s="49"/>
    </row>
    <row r="179" spans="1:25" ht="15.75" thickBot="1">
      <c r="A179" s="50"/>
      <c r="B179" s="233" t="s">
        <v>50</v>
      </c>
      <c r="C179" s="234">
        <v>45707</v>
      </c>
      <c r="D179" s="235"/>
      <c r="E179" s="53"/>
      <c r="F179" s="49"/>
      <c r="G179" s="55"/>
      <c r="H179" s="85" t="s">
        <v>50</v>
      </c>
      <c r="I179" s="86">
        <v>45693</v>
      </c>
      <c r="J179" s="87"/>
      <c r="K179" s="56"/>
      <c r="L179" s="49"/>
      <c r="M179" s="60"/>
      <c r="N179" s="179"/>
      <c r="O179" s="179"/>
      <c r="P179" s="179"/>
      <c r="Q179" s="61"/>
      <c r="R179" s="49"/>
      <c r="S179" s="49"/>
      <c r="T179" s="49"/>
      <c r="U179" s="49"/>
      <c r="V179" s="49"/>
      <c r="W179" s="49"/>
      <c r="X179" s="49"/>
      <c r="Y179" s="49"/>
    </row>
    <row r="180" spans="1:25" ht="15.75" thickTop="1">
      <c r="A180" s="50"/>
      <c r="B180" s="177"/>
      <c r="C180" s="177"/>
      <c r="D180" s="177"/>
      <c r="E180" s="53"/>
      <c r="F180" s="49"/>
      <c r="G180" s="55"/>
      <c r="H180" s="178"/>
      <c r="I180" s="178"/>
      <c r="J180" s="178"/>
      <c r="K180" s="56"/>
      <c r="L180" s="49"/>
      <c r="M180" s="60"/>
      <c r="N180" s="179"/>
      <c r="O180" s="179"/>
      <c r="P180" s="179"/>
      <c r="Q180" s="61"/>
      <c r="R180" s="49"/>
      <c r="S180" s="49"/>
      <c r="T180" s="49"/>
      <c r="U180" s="49"/>
      <c r="V180" s="49"/>
      <c r="W180" s="49"/>
      <c r="X180" s="49"/>
      <c r="Y180" s="49"/>
    </row>
    <row r="181" spans="1:25">
      <c r="A181" s="50"/>
      <c r="B181" s="504" t="s">
        <v>183</v>
      </c>
      <c r="C181" s="505"/>
      <c r="D181" s="506"/>
      <c r="E181" s="53"/>
      <c r="F181" s="49"/>
      <c r="G181" s="55"/>
      <c r="H181" s="533" t="s">
        <v>162</v>
      </c>
      <c r="I181" s="534"/>
      <c r="J181" s="535"/>
      <c r="K181" s="56"/>
      <c r="L181" s="49"/>
      <c r="M181" s="60"/>
      <c r="N181" s="179"/>
      <c r="O181" s="179"/>
      <c r="P181" s="179"/>
      <c r="Q181" s="61"/>
      <c r="R181" s="49"/>
      <c r="S181" s="49"/>
      <c r="T181" s="49"/>
      <c r="U181" s="49"/>
      <c r="V181" s="49"/>
      <c r="W181" s="49"/>
      <c r="X181" s="49"/>
      <c r="Y181" s="49"/>
    </row>
    <row r="182" spans="1:25">
      <c r="A182" s="50"/>
      <c r="B182" s="236" t="s">
        <v>106</v>
      </c>
      <c r="C182" s="180" t="s">
        <v>27</v>
      </c>
      <c r="D182" s="237"/>
      <c r="E182" s="53"/>
      <c r="F182" s="49"/>
      <c r="G182" s="55"/>
      <c r="H182" s="188" t="s">
        <v>106</v>
      </c>
      <c r="I182" s="180" t="s">
        <v>214</v>
      </c>
      <c r="J182" s="189"/>
      <c r="K182" s="56"/>
      <c r="L182" s="49"/>
      <c r="M182" s="60"/>
      <c r="N182" s="179"/>
      <c r="O182" s="179"/>
      <c r="P182" s="179"/>
      <c r="Q182" s="61"/>
      <c r="R182" s="49"/>
      <c r="S182" s="49"/>
      <c r="T182" s="49"/>
      <c r="U182" s="49"/>
      <c r="V182" s="49"/>
      <c r="W182" s="49"/>
      <c r="X182" s="49"/>
      <c r="Y182" s="49"/>
    </row>
    <row r="183" spans="1:25">
      <c r="A183" s="50"/>
      <c r="B183" s="236" t="s">
        <v>108</v>
      </c>
      <c r="C183" s="180" t="s">
        <v>99</v>
      </c>
      <c r="D183" s="237"/>
      <c r="E183" s="53"/>
      <c r="F183" s="49"/>
      <c r="G183" s="55"/>
      <c r="H183" s="188" t="s">
        <v>108</v>
      </c>
      <c r="I183" s="180" t="s">
        <v>99</v>
      </c>
      <c r="J183" s="189"/>
      <c r="K183" s="56"/>
      <c r="L183" s="49"/>
      <c r="M183" s="60"/>
      <c r="N183" s="179"/>
      <c r="O183" s="179"/>
      <c r="P183" s="179"/>
      <c r="Q183" s="61"/>
      <c r="R183" s="49"/>
      <c r="S183" s="49"/>
      <c r="T183" s="49"/>
      <c r="U183" s="49"/>
      <c r="V183" s="49"/>
      <c r="W183" s="49"/>
      <c r="X183" s="49"/>
      <c r="Y183" s="49"/>
    </row>
    <row r="184" spans="1:25">
      <c r="A184" s="50"/>
      <c r="B184" s="236" t="s">
        <v>48</v>
      </c>
      <c r="C184" s="180" t="s">
        <v>25</v>
      </c>
      <c r="D184" s="238"/>
      <c r="E184" s="53"/>
      <c r="F184" s="49"/>
      <c r="G184" s="55"/>
      <c r="H184" s="188" t="s">
        <v>48</v>
      </c>
      <c r="I184" s="180" t="s">
        <v>39</v>
      </c>
      <c r="J184" s="190"/>
      <c r="K184" s="56"/>
      <c r="L184" s="49"/>
      <c r="M184" s="60"/>
      <c r="N184" s="179"/>
      <c r="O184" s="179"/>
      <c r="P184" s="179"/>
      <c r="Q184" s="61"/>
      <c r="R184" s="49"/>
      <c r="S184" s="49"/>
      <c r="T184" s="49"/>
      <c r="U184" s="49"/>
      <c r="V184" s="49"/>
      <c r="W184" s="49"/>
      <c r="X184" s="49"/>
      <c r="Y184" s="49"/>
    </row>
    <row r="185" spans="1:25">
      <c r="A185" s="50"/>
      <c r="B185" s="236" t="s">
        <v>49</v>
      </c>
      <c r="C185" s="181">
        <v>45712</v>
      </c>
      <c r="D185" s="238"/>
      <c r="E185" s="53"/>
      <c r="F185" s="49"/>
      <c r="G185" s="55"/>
      <c r="H185" s="188" t="s">
        <v>49</v>
      </c>
      <c r="I185" s="181">
        <v>45694</v>
      </c>
      <c r="J185" s="190"/>
      <c r="K185" s="56"/>
      <c r="L185" s="49"/>
      <c r="M185" s="60"/>
      <c r="N185" s="179"/>
      <c r="O185" s="179"/>
      <c r="P185" s="179"/>
      <c r="Q185" s="61"/>
      <c r="R185" s="49"/>
      <c r="S185" s="49"/>
      <c r="T185" s="49"/>
      <c r="U185" s="49"/>
      <c r="V185" s="49"/>
      <c r="W185" s="49"/>
      <c r="X185" s="49"/>
      <c r="Y185" s="49"/>
    </row>
    <row r="186" spans="1:25">
      <c r="A186" s="50"/>
      <c r="B186" s="239" t="s">
        <v>50</v>
      </c>
      <c r="C186" s="240">
        <v>45712</v>
      </c>
      <c r="D186" s="241"/>
      <c r="E186" s="53"/>
      <c r="F186" s="49"/>
      <c r="G186" s="55"/>
      <c r="H186" s="191" t="s">
        <v>50</v>
      </c>
      <c r="I186" s="192">
        <v>45699</v>
      </c>
      <c r="J186" s="193"/>
      <c r="K186" s="56"/>
      <c r="L186" s="49"/>
      <c r="M186" s="60"/>
      <c r="N186" s="179"/>
      <c r="O186" s="179"/>
      <c r="P186" s="179"/>
      <c r="Q186" s="61"/>
      <c r="R186" s="49"/>
      <c r="S186" s="49"/>
      <c r="T186" s="49"/>
      <c r="U186" s="49"/>
      <c r="V186" s="49"/>
      <c r="W186" s="49"/>
      <c r="X186" s="49"/>
      <c r="Y186" s="49"/>
    </row>
    <row r="187" spans="1:25" ht="15.75" thickBot="1">
      <c r="A187" s="50"/>
      <c r="B187" s="177"/>
      <c r="C187" s="177"/>
      <c r="D187" s="177"/>
      <c r="E187" s="53"/>
      <c r="F187" s="49"/>
      <c r="G187" s="55"/>
      <c r="H187" s="178"/>
      <c r="I187" s="178"/>
      <c r="J187" s="178"/>
      <c r="K187" s="56"/>
      <c r="L187" s="49"/>
      <c r="M187" s="60"/>
      <c r="N187" s="179"/>
      <c r="O187" s="179"/>
      <c r="P187" s="179"/>
      <c r="Q187" s="61"/>
      <c r="R187" s="49"/>
      <c r="S187" s="49"/>
      <c r="T187" s="49"/>
      <c r="U187" s="49"/>
      <c r="V187" s="49"/>
      <c r="W187" s="49"/>
      <c r="X187" s="49"/>
      <c r="Y187" s="49"/>
    </row>
    <row r="188" spans="1:25" ht="15.75" thickTop="1">
      <c r="A188" s="50"/>
      <c r="B188" s="504" t="s">
        <v>183</v>
      </c>
      <c r="C188" s="505"/>
      <c r="D188" s="506"/>
      <c r="E188" s="53"/>
      <c r="F188" s="49"/>
      <c r="G188" s="55"/>
      <c r="H188" s="539" t="s">
        <v>164</v>
      </c>
      <c r="I188" s="540"/>
      <c r="J188" s="512"/>
      <c r="K188" s="56"/>
      <c r="L188" s="49"/>
      <c r="M188" s="60"/>
      <c r="N188" s="179"/>
      <c r="O188" s="179"/>
      <c r="P188" s="179"/>
      <c r="Q188" s="61"/>
      <c r="R188" s="49"/>
      <c r="S188" s="49"/>
      <c r="T188" s="49"/>
      <c r="U188" s="49"/>
      <c r="V188" s="49"/>
      <c r="W188" s="49"/>
      <c r="X188" s="49"/>
      <c r="Y188" s="49"/>
    </row>
    <row r="189" spans="1:25">
      <c r="A189" s="50"/>
      <c r="B189" s="236" t="s">
        <v>106</v>
      </c>
      <c r="C189" s="180" t="s">
        <v>210</v>
      </c>
      <c r="D189" s="237"/>
      <c r="E189" s="53"/>
      <c r="F189" s="49"/>
      <c r="G189" s="55"/>
      <c r="H189" s="82" t="s">
        <v>106</v>
      </c>
      <c r="I189" s="180" t="s">
        <v>210</v>
      </c>
      <c r="J189" s="83"/>
      <c r="K189" s="56"/>
      <c r="L189" s="49"/>
      <c r="M189" s="60"/>
      <c r="N189" s="179"/>
      <c r="O189" s="179"/>
      <c r="P189" s="179"/>
      <c r="Q189" s="61"/>
      <c r="R189" s="49"/>
      <c r="S189" s="49"/>
      <c r="T189" s="49"/>
      <c r="U189" s="49"/>
      <c r="V189" s="49"/>
      <c r="W189" s="49"/>
      <c r="X189" s="49"/>
      <c r="Y189" s="49"/>
    </row>
    <row r="190" spans="1:25">
      <c r="A190" s="50"/>
      <c r="B190" s="236" t="s">
        <v>108</v>
      </c>
      <c r="C190" s="180" t="s">
        <v>99</v>
      </c>
      <c r="D190" s="237"/>
      <c r="E190" s="53"/>
      <c r="F190" s="49"/>
      <c r="G190" s="55"/>
      <c r="H190" s="82" t="s">
        <v>108</v>
      </c>
      <c r="I190" s="180" t="s">
        <v>99</v>
      </c>
      <c r="J190" s="83"/>
      <c r="K190" s="56"/>
      <c r="L190" s="49"/>
      <c r="M190" s="60"/>
      <c r="N190" s="179"/>
      <c r="O190" s="179"/>
      <c r="P190" s="179"/>
      <c r="Q190" s="61"/>
      <c r="R190" s="49"/>
      <c r="S190" s="49"/>
      <c r="T190" s="49"/>
      <c r="U190" s="49"/>
      <c r="V190" s="49"/>
      <c r="W190" s="49"/>
      <c r="X190" s="49"/>
      <c r="Y190" s="49"/>
    </row>
    <row r="191" spans="1:25">
      <c r="A191" s="50"/>
      <c r="B191" s="236" t="s">
        <v>48</v>
      </c>
      <c r="C191" s="180" t="s">
        <v>102</v>
      </c>
      <c r="D191" s="238"/>
      <c r="E191" s="53"/>
      <c r="F191" s="49"/>
      <c r="G191" s="55"/>
      <c r="H191" s="82" t="s">
        <v>48</v>
      </c>
      <c r="I191" s="180" t="s">
        <v>102</v>
      </c>
      <c r="J191" s="84"/>
      <c r="K191" s="56"/>
      <c r="L191" s="49"/>
      <c r="M191" s="60"/>
      <c r="N191" s="179"/>
      <c r="O191" s="179"/>
      <c r="P191" s="179"/>
      <c r="Q191" s="61"/>
      <c r="R191" s="49"/>
      <c r="S191" s="49"/>
      <c r="T191" s="49"/>
      <c r="U191" s="49"/>
      <c r="V191" s="49"/>
      <c r="W191" s="49"/>
      <c r="X191" s="49"/>
      <c r="Y191" s="49"/>
    </row>
    <row r="192" spans="1:25">
      <c r="A192" s="50"/>
      <c r="B192" s="236" t="s">
        <v>49</v>
      </c>
      <c r="C192" s="181">
        <v>45702</v>
      </c>
      <c r="D192" s="238"/>
      <c r="E192" s="53"/>
      <c r="F192" s="49"/>
      <c r="G192" s="55"/>
      <c r="H192" s="82" t="s">
        <v>49</v>
      </c>
      <c r="I192" s="181">
        <v>45694</v>
      </c>
      <c r="J192" s="84"/>
      <c r="K192" s="56"/>
      <c r="L192" s="49"/>
      <c r="M192" s="60"/>
      <c r="N192" s="179"/>
      <c r="O192" s="179"/>
      <c r="P192" s="179"/>
      <c r="Q192" s="61"/>
      <c r="R192" s="49"/>
      <c r="S192" s="49"/>
      <c r="T192" s="49"/>
      <c r="U192" s="49"/>
      <c r="V192" s="49"/>
      <c r="W192" s="49"/>
      <c r="X192" s="49"/>
      <c r="Y192" s="49"/>
    </row>
    <row r="193" spans="1:25" ht="15.75" thickBot="1">
      <c r="A193" s="50"/>
      <c r="B193" s="239" t="s">
        <v>50</v>
      </c>
      <c r="C193" s="240">
        <v>45705</v>
      </c>
      <c r="D193" s="241"/>
      <c r="E193" s="53"/>
      <c r="F193" s="49"/>
      <c r="G193" s="55"/>
      <c r="H193" s="85" t="s">
        <v>50</v>
      </c>
      <c r="I193" s="86">
        <v>45695</v>
      </c>
      <c r="J193" s="87"/>
      <c r="K193" s="56"/>
      <c r="L193" s="49"/>
      <c r="M193" s="60"/>
      <c r="N193" s="179"/>
      <c r="O193" s="179"/>
      <c r="P193" s="179"/>
      <c r="Q193" s="61"/>
      <c r="R193" s="49"/>
      <c r="S193" s="49"/>
      <c r="T193" s="49"/>
      <c r="U193" s="49"/>
      <c r="V193" s="49"/>
      <c r="W193" s="49"/>
      <c r="X193" s="49"/>
      <c r="Y193" s="49"/>
    </row>
    <row r="194" spans="1:25" ht="16.5" thickTop="1" thickBot="1">
      <c r="A194" s="50"/>
      <c r="B194" s="177"/>
      <c r="C194" s="177"/>
      <c r="D194" s="177"/>
      <c r="E194" s="53"/>
      <c r="F194" s="49"/>
      <c r="G194" s="55"/>
      <c r="H194" s="178"/>
      <c r="I194" s="178"/>
      <c r="J194" s="178"/>
      <c r="K194" s="56"/>
      <c r="L194" s="49"/>
      <c r="M194" s="60"/>
      <c r="N194" s="179"/>
      <c r="O194" s="179"/>
      <c r="P194" s="179"/>
      <c r="Q194" s="61"/>
      <c r="R194" s="49"/>
      <c r="S194" s="49"/>
      <c r="T194" s="49"/>
      <c r="U194" s="49"/>
      <c r="V194" s="49"/>
      <c r="W194" s="49"/>
      <c r="X194" s="49"/>
      <c r="Y194" s="49"/>
    </row>
    <row r="195" spans="1:25" ht="15.75" thickTop="1">
      <c r="A195" s="50"/>
      <c r="B195" s="504" t="s">
        <v>183</v>
      </c>
      <c r="C195" s="505"/>
      <c r="D195" s="506"/>
      <c r="E195" s="53"/>
      <c r="F195" s="49"/>
      <c r="G195" s="55"/>
      <c r="H195" s="590" t="s">
        <v>167</v>
      </c>
      <c r="I195" s="591"/>
      <c r="J195" s="512"/>
      <c r="K195" s="56"/>
      <c r="L195" s="49"/>
      <c r="M195" s="60"/>
      <c r="N195" s="179"/>
      <c r="O195" s="179"/>
      <c r="P195" s="179"/>
      <c r="Q195" s="61"/>
      <c r="R195" s="49"/>
      <c r="S195" s="49"/>
      <c r="T195" s="49"/>
      <c r="U195" s="49"/>
      <c r="V195" s="49"/>
      <c r="W195" s="49"/>
      <c r="X195" s="49"/>
      <c r="Y195" s="49"/>
    </row>
    <row r="196" spans="1:25">
      <c r="A196" s="50"/>
      <c r="B196" s="236" t="s">
        <v>106</v>
      </c>
      <c r="C196" s="180" t="s">
        <v>214</v>
      </c>
      <c r="D196" s="237"/>
      <c r="E196" s="53"/>
      <c r="F196" s="49"/>
      <c r="G196" s="55"/>
      <c r="H196" s="82" t="s">
        <v>106</v>
      </c>
      <c r="I196" s="180" t="s">
        <v>210</v>
      </c>
      <c r="J196" s="83"/>
      <c r="K196" s="56"/>
      <c r="L196" s="49"/>
      <c r="M196" s="60"/>
      <c r="N196" s="179"/>
      <c r="O196" s="179"/>
      <c r="P196" s="179"/>
      <c r="Q196" s="61"/>
      <c r="R196" s="49"/>
      <c r="S196" s="49"/>
      <c r="T196" s="49"/>
      <c r="U196" s="49"/>
      <c r="V196" s="49"/>
      <c r="W196" s="49"/>
      <c r="X196" s="49"/>
      <c r="Y196" s="49"/>
    </row>
    <row r="197" spans="1:25">
      <c r="A197" s="50"/>
      <c r="B197" s="236" t="s">
        <v>108</v>
      </c>
      <c r="C197" s="180" t="s">
        <v>99</v>
      </c>
      <c r="D197" s="237"/>
      <c r="E197" s="53"/>
      <c r="F197" s="49"/>
      <c r="G197" s="55"/>
      <c r="H197" s="82" t="s">
        <v>108</v>
      </c>
      <c r="I197" s="180" t="s">
        <v>99</v>
      </c>
      <c r="J197" s="83"/>
      <c r="K197" s="56"/>
      <c r="L197" s="49"/>
      <c r="M197" s="60"/>
      <c r="N197" s="179"/>
      <c r="O197" s="179"/>
      <c r="P197" s="179"/>
      <c r="Q197" s="61"/>
      <c r="R197" s="49"/>
      <c r="S197" s="49"/>
      <c r="T197" s="49"/>
      <c r="U197" s="49"/>
      <c r="V197" s="49"/>
      <c r="W197" s="49"/>
      <c r="X197" s="49"/>
      <c r="Y197" s="49"/>
    </row>
    <row r="198" spans="1:25">
      <c r="A198" s="50"/>
      <c r="B198" s="236" t="s">
        <v>48</v>
      </c>
      <c r="C198" s="180" t="s">
        <v>39</v>
      </c>
      <c r="D198" s="238"/>
      <c r="E198" s="53"/>
      <c r="F198" s="49"/>
      <c r="G198" s="55"/>
      <c r="H198" s="82" t="s">
        <v>48</v>
      </c>
      <c r="I198" s="180" t="s">
        <v>102</v>
      </c>
      <c r="J198" s="84"/>
      <c r="K198" s="56"/>
      <c r="L198" s="49"/>
      <c r="M198" s="60"/>
      <c r="N198" s="179"/>
      <c r="O198" s="179"/>
      <c r="P198" s="179"/>
      <c r="Q198" s="61"/>
      <c r="R198" s="49"/>
      <c r="S198" s="49"/>
      <c r="T198" s="49"/>
      <c r="U198" s="49"/>
      <c r="V198" s="49"/>
      <c r="W198" s="49"/>
      <c r="X198" s="49"/>
      <c r="Y198" s="49"/>
    </row>
    <row r="199" spans="1:25">
      <c r="A199" s="50"/>
      <c r="B199" s="236" t="s">
        <v>49</v>
      </c>
      <c r="C199" s="181">
        <v>45706</v>
      </c>
      <c r="D199" s="238"/>
      <c r="E199" s="53"/>
      <c r="F199" s="49"/>
      <c r="G199" s="55"/>
      <c r="H199" s="82" t="s">
        <v>49</v>
      </c>
      <c r="I199" s="181">
        <v>45694</v>
      </c>
      <c r="J199" s="84"/>
      <c r="K199" s="56"/>
      <c r="L199" s="49"/>
      <c r="M199" s="60"/>
      <c r="N199" s="179"/>
      <c r="O199" s="179"/>
      <c r="P199" s="179"/>
      <c r="Q199" s="61"/>
      <c r="R199" s="49"/>
      <c r="S199" s="49"/>
      <c r="T199" s="49"/>
      <c r="U199" s="49"/>
      <c r="V199" s="49"/>
      <c r="W199" s="49"/>
      <c r="X199" s="49"/>
      <c r="Y199" s="49"/>
    </row>
    <row r="200" spans="1:25" ht="15.75" thickBot="1">
      <c r="A200" s="50"/>
      <c r="B200" s="239" t="s">
        <v>50</v>
      </c>
      <c r="C200" s="240">
        <v>45706</v>
      </c>
      <c r="D200" s="241"/>
      <c r="E200" s="53"/>
      <c r="F200" s="49"/>
      <c r="G200" s="55"/>
      <c r="H200" s="85" t="s">
        <v>50</v>
      </c>
      <c r="I200" s="86">
        <v>45695</v>
      </c>
      <c r="J200" s="87"/>
      <c r="K200" s="56"/>
      <c r="L200" s="49"/>
      <c r="M200" s="60"/>
      <c r="N200" s="179"/>
      <c r="O200" s="179"/>
      <c r="P200" s="179"/>
      <c r="Q200" s="61"/>
      <c r="R200" s="49"/>
      <c r="S200" s="49"/>
      <c r="T200" s="49"/>
      <c r="U200" s="49"/>
      <c r="V200" s="49"/>
      <c r="W200" s="49"/>
      <c r="X200" s="49"/>
      <c r="Y200" s="49"/>
    </row>
    <row r="201" spans="1:25" ht="16.5" thickTop="1" thickBot="1">
      <c r="A201" s="50"/>
      <c r="B201" s="177"/>
      <c r="C201" s="177"/>
      <c r="D201" s="177"/>
      <c r="E201" s="53"/>
      <c r="F201" s="49"/>
      <c r="G201" s="55"/>
      <c r="H201" s="178"/>
      <c r="I201" s="178"/>
      <c r="J201" s="178"/>
      <c r="K201" s="56"/>
      <c r="L201" s="49"/>
      <c r="M201" s="60"/>
      <c r="N201" s="179"/>
      <c r="O201" s="179"/>
      <c r="P201" s="179"/>
      <c r="Q201" s="61"/>
      <c r="R201" s="49"/>
      <c r="S201" s="49"/>
      <c r="T201" s="49"/>
      <c r="U201" s="49"/>
      <c r="V201" s="49"/>
      <c r="W201" s="49"/>
      <c r="X201" s="49"/>
      <c r="Y201" s="49"/>
    </row>
    <row r="202" spans="1:25" ht="15.75" thickTop="1">
      <c r="A202" s="50"/>
      <c r="B202" s="507" t="s">
        <v>185</v>
      </c>
      <c r="C202" s="508"/>
      <c r="D202" s="509"/>
      <c r="E202" s="53"/>
      <c r="F202" s="49"/>
      <c r="G202" s="55"/>
      <c r="H202" s="592" t="s">
        <v>169</v>
      </c>
      <c r="I202" s="593"/>
      <c r="J202" s="512"/>
      <c r="K202" s="56"/>
      <c r="L202" s="49"/>
      <c r="M202" s="60"/>
      <c r="N202" s="179"/>
      <c r="O202" s="179"/>
      <c r="P202" s="179"/>
      <c r="Q202" s="61"/>
      <c r="R202" s="49"/>
      <c r="S202" s="49"/>
      <c r="T202" s="49"/>
      <c r="U202" s="49"/>
      <c r="V202" s="49"/>
      <c r="W202" s="49"/>
      <c r="X202" s="49"/>
      <c r="Y202" s="49"/>
    </row>
    <row r="203" spans="1:25">
      <c r="A203" s="50"/>
      <c r="B203" s="242" t="s">
        <v>106</v>
      </c>
      <c r="C203" s="180" t="s">
        <v>27</v>
      </c>
      <c r="D203" s="243"/>
      <c r="E203" s="53"/>
      <c r="F203" s="49"/>
      <c r="G203" s="55"/>
      <c r="H203" s="82" t="s">
        <v>106</v>
      </c>
      <c r="I203" s="180" t="s">
        <v>210</v>
      </c>
      <c r="J203" s="83"/>
      <c r="K203" s="56"/>
      <c r="L203" s="49"/>
      <c r="M203" s="60"/>
      <c r="N203" s="179"/>
      <c r="O203" s="179"/>
      <c r="P203" s="179"/>
      <c r="Q203" s="61"/>
      <c r="R203" s="49"/>
      <c r="S203" s="49"/>
      <c r="T203" s="49"/>
      <c r="U203" s="49"/>
      <c r="V203" s="49"/>
      <c r="W203" s="49"/>
      <c r="X203" s="49"/>
      <c r="Y203" s="49"/>
    </row>
    <row r="204" spans="1:25">
      <c r="A204" s="50"/>
      <c r="B204" s="242" t="s">
        <v>108</v>
      </c>
      <c r="C204" s="180" t="s">
        <v>99</v>
      </c>
      <c r="D204" s="243"/>
      <c r="E204" s="53"/>
      <c r="F204" s="49"/>
      <c r="G204" s="55"/>
      <c r="H204" s="82" t="s">
        <v>108</v>
      </c>
      <c r="I204" s="180" t="s">
        <v>99</v>
      </c>
      <c r="J204" s="83"/>
      <c r="K204" s="56"/>
      <c r="L204" s="49"/>
      <c r="M204" s="60"/>
      <c r="N204" s="179"/>
      <c r="O204" s="179"/>
      <c r="P204" s="179"/>
      <c r="Q204" s="61"/>
      <c r="R204" s="49"/>
      <c r="S204" s="49"/>
      <c r="T204" s="49"/>
      <c r="U204" s="49"/>
      <c r="V204" s="49"/>
      <c r="W204" s="49"/>
      <c r="X204" s="49"/>
      <c r="Y204" s="49"/>
    </row>
    <row r="205" spans="1:25">
      <c r="A205" s="50"/>
      <c r="B205" s="242" t="s">
        <v>48</v>
      </c>
      <c r="C205" s="180" t="s">
        <v>25</v>
      </c>
      <c r="D205" s="244"/>
      <c r="E205" s="53"/>
      <c r="F205" s="49"/>
      <c r="G205" s="55"/>
      <c r="H205" s="82" t="s">
        <v>48</v>
      </c>
      <c r="I205" s="180" t="s">
        <v>102</v>
      </c>
      <c r="J205" s="84"/>
      <c r="K205" s="56"/>
      <c r="L205" s="49"/>
      <c r="M205" s="60"/>
      <c r="N205" s="179"/>
      <c r="O205" s="179"/>
      <c r="P205" s="179"/>
      <c r="Q205" s="61"/>
      <c r="R205" s="49"/>
      <c r="S205" s="49"/>
      <c r="T205" s="49"/>
      <c r="U205" s="49"/>
      <c r="V205" s="49"/>
      <c r="W205" s="49"/>
      <c r="X205" s="49"/>
      <c r="Y205" s="49"/>
    </row>
    <row r="206" spans="1:25">
      <c r="A206" s="50"/>
      <c r="B206" s="242" t="s">
        <v>49</v>
      </c>
      <c r="C206" s="181">
        <v>45713</v>
      </c>
      <c r="D206" s="244"/>
      <c r="E206" s="53"/>
      <c r="F206" s="49"/>
      <c r="G206" s="55"/>
      <c r="H206" s="82" t="s">
        <v>49</v>
      </c>
      <c r="I206" s="181">
        <v>45694</v>
      </c>
      <c r="J206" s="84"/>
      <c r="K206" s="56"/>
      <c r="L206" s="49"/>
      <c r="M206" s="60"/>
      <c r="N206" s="179"/>
      <c r="O206" s="179"/>
      <c r="P206" s="179"/>
      <c r="Q206" s="61"/>
      <c r="R206" s="49"/>
      <c r="S206" s="49"/>
      <c r="T206" s="49"/>
      <c r="U206" s="49"/>
      <c r="V206" s="49"/>
      <c r="W206" s="49"/>
      <c r="X206" s="49"/>
      <c r="Y206" s="49"/>
    </row>
    <row r="207" spans="1:25" ht="15.75" thickBot="1">
      <c r="A207" s="50"/>
      <c r="B207" s="245" t="s">
        <v>50</v>
      </c>
      <c r="C207" s="246">
        <v>45713</v>
      </c>
      <c r="D207" s="247"/>
      <c r="E207" s="53"/>
      <c r="F207" s="49"/>
      <c r="G207" s="55"/>
      <c r="H207" s="85" t="s">
        <v>50</v>
      </c>
      <c r="I207" s="86">
        <v>45695</v>
      </c>
      <c r="J207" s="87"/>
      <c r="K207" s="56"/>
      <c r="L207" s="49"/>
      <c r="M207" s="60"/>
      <c r="N207" s="179"/>
      <c r="O207" s="179"/>
      <c r="P207" s="179"/>
      <c r="Q207" s="61"/>
      <c r="R207" s="49"/>
      <c r="S207" s="49"/>
      <c r="T207" s="49"/>
      <c r="U207" s="49"/>
      <c r="V207" s="49"/>
      <c r="W207" s="49"/>
      <c r="X207" s="49"/>
      <c r="Y207" s="49"/>
    </row>
    <row r="208" spans="1:25" ht="15.75" thickTop="1">
      <c r="A208" s="50"/>
      <c r="B208" s="177"/>
      <c r="C208" s="177"/>
      <c r="D208" s="177"/>
      <c r="E208" s="53"/>
      <c r="F208" s="49"/>
      <c r="G208" s="55"/>
      <c r="H208" s="178"/>
      <c r="I208" s="178"/>
      <c r="J208" s="178"/>
      <c r="K208" s="56"/>
      <c r="L208" s="49"/>
      <c r="M208" s="60"/>
      <c r="N208" s="179"/>
      <c r="O208" s="179"/>
      <c r="P208" s="179"/>
      <c r="Q208" s="61"/>
      <c r="R208" s="49"/>
      <c r="S208" s="49"/>
      <c r="T208" s="49"/>
      <c r="U208" s="49"/>
      <c r="V208" s="49"/>
      <c r="W208" s="49"/>
      <c r="X208" s="49"/>
      <c r="Y208" s="49"/>
    </row>
    <row r="209" spans="1:25">
      <c r="A209" s="50"/>
      <c r="B209" s="507" t="s">
        <v>185</v>
      </c>
      <c r="C209" s="508"/>
      <c r="D209" s="509"/>
      <c r="E209" s="53"/>
      <c r="F209" s="49"/>
      <c r="G209" s="55"/>
      <c r="H209" s="178"/>
      <c r="I209" s="178"/>
      <c r="J209" s="178"/>
      <c r="K209" s="56"/>
      <c r="L209" s="49"/>
      <c r="M209" s="60"/>
      <c r="N209" s="179"/>
      <c r="O209" s="179"/>
      <c r="P209" s="179"/>
      <c r="Q209" s="61"/>
      <c r="R209" s="49"/>
      <c r="S209" s="49"/>
      <c r="T209" s="49"/>
      <c r="U209" s="49"/>
      <c r="V209" s="49"/>
      <c r="W209" s="49"/>
      <c r="X209" s="49"/>
      <c r="Y209" s="49"/>
    </row>
    <row r="210" spans="1:25">
      <c r="A210" s="50"/>
      <c r="B210" s="242" t="s">
        <v>106</v>
      </c>
      <c r="C210" s="180" t="s">
        <v>210</v>
      </c>
      <c r="D210" s="243"/>
      <c r="E210" s="53"/>
      <c r="F210" s="49"/>
      <c r="G210" s="55"/>
      <c r="H210" s="178"/>
      <c r="I210" s="178"/>
      <c r="J210" s="178"/>
      <c r="K210" s="56"/>
      <c r="L210" s="49"/>
      <c r="M210" s="60"/>
      <c r="N210" s="179"/>
      <c r="O210" s="179"/>
      <c r="P210" s="179"/>
      <c r="Q210" s="61"/>
      <c r="R210" s="49"/>
      <c r="S210" s="49"/>
      <c r="T210" s="49"/>
      <c r="U210" s="49"/>
      <c r="V210" s="49"/>
      <c r="W210" s="49"/>
      <c r="X210" s="49"/>
      <c r="Y210" s="49"/>
    </row>
    <row r="211" spans="1:25">
      <c r="A211" s="50"/>
      <c r="B211" s="242" t="s">
        <v>108</v>
      </c>
      <c r="C211" s="180" t="s">
        <v>99</v>
      </c>
      <c r="D211" s="243"/>
      <c r="E211" s="53"/>
      <c r="F211" s="49"/>
      <c r="G211" s="55"/>
      <c r="H211" s="178"/>
      <c r="I211" s="178"/>
      <c r="J211" s="178"/>
      <c r="K211" s="56"/>
      <c r="L211" s="49"/>
      <c r="M211" s="60"/>
      <c r="N211" s="179"/>
      <c r="O211" s="179"/>
      <c r="P211" s="179"/>
      <c r="Q211" s="61"/>
      <c r="R211" s="49"/>
      <c r="S211" s="49"/>
      <c r="T211" s="49"/>
      <c r="U211" s="49"/>
      <c r="V211" s="49"/>
      <c r="W211" s="49"/>
      <c r="X211" s="49"/>
      <c r="Y211" s="49"/>
    </row>
    <row r="212" spans="1:25">
      <c r="A212" s="50"/>
      <c r="B212" s="242" t="s">
        <v>48</v>
      </c>
      <c r="C212" s="180" t="s">
        <v>102</v>
      </c>
      <c r="D212" s="244"/>
      <c r="E212" s="53"/>
      <c r="F212" s="49"/>
      <c r="G212" s="55"/>
      <c r="H212" s="178"/>
      <c r="I212" s="178"/>
      <c r="J212" s="178"/>
      <c r="K212" s="56"/>
      <c r="L212" s="49"/>
      <c r="M212" s="60"/>
      <c r="N212" s="179"/>
      <c r="O212" s="179"/>
      <c r="P212" s="179"/>
      <c r="Q212" s="61"/>
      <c r="R212" s="49"/>
      <c r="S212" s="49"/>
      <c r="T212" s="49"/>
      <c r="U212" s="49"/>
      <c r="V212" s="49"/>
      <c r="W212" s="49"/>
      <c r="X212" s="49"/>
      <c r="Y212" s="49"/>
    </row>
    <row r="213" spans="1:25">
      <c r="A213" s="50"/>
      <c r="B213" s="242" t="s">
        <v>49</v>
      </c>
      <c r="C213" s="181">
        <v>45702</v>
      </c>
      <c r="D213" s="244"/>
      <c r="E213" s="53"/>
      <c r="F213" s="49"/>
      <c r="G213" s="55"/>
      <c r="H213" s="178"/>
      <c r="I213" s="178"/>
      <c r="J213" s="178"/>
      <c r="K213" s="56"/>
      <c r="L213" s="49"/>
      <c r="M213" s="60"/>
      <c r="N213" s="179"/>
      <c r="O213" s="179"/>
      <c r="P213" s="179"/>
      <c r="Q213" s="61"/>
      <c r="R213" s="49"/>
      <c r="S213" s="49"/>
      <c r="T213" s="49"/>
      <c r="U213" s="49"/>
      <c r="V213" s="49"/>
      <c r="W213" s="49"/>
      <c r="X213" s="49"/>
      <c r="Y213" s="49"/>
    </row>
    <row r="214" spans="1:25">
      <c r="A214" s="50"/>
      <c r="B214" s="245" t="s">
        <v>50</v>
      </c>
      <c r="C214" s="246">
        <v>45705</v>
      </c>
      <c r="D214" s="247"/>
      <c r="E214" s="53"/>
      <c r="F214" s="49"/>
      <c r="G214" s="55"/>
      <c r="H214" s="178"/>
      <c r="I214" s="178"/>
      <c r="J214" s="178"/>
      <c r="K214" s="56"/>
      <c r="L214" s="49"/>
      <c r="M214" s="60"/>
      <c r="N214" s="179"/>
      <c r="O214" s="179"/>
      <c r="P214" s="179"/>
      <c r="Q214" s="61"/>
      <c r="R214" s="49"/>
      <c r="S214" s="49"/>
      <c r="T214" s="49"/>
      <c r="U214" s="49"/>
      <c r="V214" s="49"/>
      <c r="W214" s="49"/>
      <c r="X214" s="49"/>
      <c r="Y214" s="49"/>
    </row>
    <row r="215" spans="1:25">
      <c r="A215" s="50"/>
      <c r="B215" s="177"/>
      <c r="C215" s="177"/>
      <c r="D215" s="177"/>
      <c r="E215" s="53"/>
      <c r="F215" s="49"/>
      <c r="G215" s="55"/>
      <c r="H215" s="178"/>
      <c r="I215" s="178"/>
      <c r="J215" s="178"/>
      <c r="K215" s="56"/>
      <c r="L215" s="49"/>
      <c r="M215" s="60"/>
      <c r="N215" s="179"/>
      <c r="O215" s="179"/>
      <c r="P215" s="179"/>
      <c r="Q215" s="61"/>
      <c r="R215" s="49"/>
      <c r="S215" s="49"/>
      <c r="T215" s="49"/>
      <c r="U215" s="49"/>
      <c r="V215" s="49"/>
      <c r="W215" s="49"/>
      <c r="X215" s="49"/>
      <c r="Y215" s="49"/>
    </row>
    <row r="216" spans="1:25">
      <c r="A216" s="50"/>
      <c r="B216" s="507" t="s">
        <v>185</v>
      </c>
      <c r="C216" s="508"/>
      <c r="D216" s="509"/>
      <c r="E216" s="53"/>
      <c r="F216" s="49"/>
      <c r="G216" s="55"/>
      <c r="H216" s="178"/>
      <c r="I216" s="178"/>
      <c r="J216" s="178"/>
      <c r="K216" s="56"/>
      <c r="L216" s="49"/>
      <c r="M216" s="60"/>
      <c r="N216" s="179"/>
      <c r="O216" s="179"/>
      <c r="P216" s="179"/>
      <c r="Q216" s="61"/>
      <c r="R216" s="49"/>
      <c r="S216" s="49"/>
      <c r="T216" s="49"/>
      <c r="U216" s="49"/>
      <c r="V216" s="49"/>
      <c r="W216" s="49"/>
      <c r="X216" s="49"/>
      <c r="Y216" s="49"/>
    </row>
    <row r="217" spans="1:25">
      <c r="A217" s="50"/>
      <c r="B217" s="242" t="s">
        <v>106</v>
      </c>
      <c r="C217" s="180" t="s">
        <v>214</v>
      </c>
      <c r="D217" s="243"/>
      <c r="E217" s="53"/>
      <c r="F217" s="49"/>
      <c r="G217" s="55"/>
      <c r="H217" s="178"/>
      <c r="I217" s="178"/>
      <c r="J217" s="178"/>
      <c r="K217" s="56"/>
      <c r="L217" s="49"/>
      <c r="M217" s="60"/>
      <c r="N217" s="179"/>
      <c r="O217" s="179"/>
      <c r="P217" s="179"/>
      <c r="Q217" s="61"/>
      <c r="R217" s="49"/>
      <c r="S217" s="49"/>
      <c r="T217" s="49"/>
      <c r="U217" s="49"/>
      <c r="V217" s="49"/>
      <c r="W217" s="49"/>
      <c r="X217" s="49"/>
      <c r="Y217" s="49"/>
    </row>
    <row r="218" spans="1:25">
      <c r="A218" s="50"/>
      <c r="B218" s="242" t="s">
        <v>108</v>
      </c>
      <c r="C218" s="180" t="s">
        <v>99</v>
      </c>
      <c r="D218" s="243"/>
      <c r="E218" s="53"/>
      <c r="F218" s="49"/>
      <c r="G218" s="55"/>
      <c r="H218" s="178"/>
      <c r="I218" s="178"/>
      <c r="J218" s="178"/>
      <c r="K218" s="56"/>
      <c r="L218" s="49"/>
      <c r="M218" s="60"/>
      <c r="N218" s="179"/>
      <c r="O218" s="179"/>
      <c r="P218" s="179"/>
      <c r="Q218" s="61"/>
      <c r="R218" s="49"/>
      <c r="S218" s="49"/>
      <c r="T218" s="49"/>
      <c r="U218" s="49"/>
      <c r="V218" s="49"/>
      <c r="W218" s="49"/>
      <c r="X218" s="49"/>
      <c r="Y218" s="49"/>
    </row>
    <row r="219" spans="1:25">
      <c r="A219" s="50"/>
      <c r="B219" s="242" t="s">
        <v>48</v>
      </c>
      <c r="C219" s="180" t="s">
        <v>39</v>
      </c>
      <c r="D219" s="244"/>
      <c r="E219" s="53"/>
      <c r="F219" s="49"/>
      <c r="G219" s="55"/>
      <c r="H219" s="178"/>
      <c r="I219" s="178"/>
      <c r="J219" s="178"/>
      <c r="K219" s="56"/>
      <c r="L219" s="49"/>
      <c r="M219" s="60"/>
      <c r="N219" s="179"/>
      <c r="O219" s="179"/>
      <c r="P219" s="179"/>
      <c r="Q219" s="61"/>
      <c r="R219" s="49"/>
      <c r="S219" s="49"/>
      <c r="T219" s="49"/>
      <c r="U219" s="49"/>
      <c r="V219" s="49"/>
      <c r="W219" s="49"/>
      <c r="X219" s="49"/>
      <c r="Y219" s="49"/>
    </row>
    <row r="220" spans="1:25">
      <c r="A220" s="50"/>
      <c r="B220" s="242" t="s">
        <v>49</v>
      </c>
      <c r="C220" s="181">
        <v>45706</v>
      </c>
      <c r="D220" s="244"/>
      <c r="E220" s="53"/>
      <c r="F220" s="49"/>
      <c r="G220" s="55"/>
      <c r="H220" s="178"/>
      <c r="I220" s="178"/>
      <c r="J220" s="178"/>
      <c r="K220" s="56"/>
      <c r="L220" s="49"/>
      <c r="M220" s="60"/>
      <c r="N220" s="179"/>
      <c r="O220" s="179"/>
      <c r="P220" s="179"/>
      <c r="Q220" s="61"/>
      <c r="R220" s="49"/>
      <c r="S220" s="49"/>
      <c r="T220" s="49"/>
      <c r="U220" s="49"/>
      <c r="V220" s="49"/>
      <c r="W220" s="49"/>
      <c r="X220" s="49"/>
      <c r="Y220" s="49"/>
    </row>
    <row r="221" spans="1:25">
      <c r="A221" s="50"/>
      <c r="B221" s="245" t="s">
        <v>50</v>
      </c>
      <c r="C221" s="246">
        <v>45706</v>
      </c>
      <c r="D221" s="247"/>
      <c r="E221" s="53"/>
      <c r="F221" s="49"/>
      <c r="G221" s="55"/>
      <c r="H221" s="178"/>
      <c r="I221" s="178"/>
      <c r="J221" s="178"/>
      <c r="K221" s="56"/>
      <c r="L221" s="49"/>
      <c r="M221" s="60"/>
      <c r="N221" s="179"/>
      <c r="O221" s="179"/>
      <c r="P221" s="179"/>
      <c r="Q221" s="61"/>
      <c r="R221" s="49"/>
      <c r="S221" s="49"/>
      <c r="T221" s="49"/>
      <c r="U221" s="49"/>
      <c r="V221" s="49"/>
      <c r="W221" s="49"/>
      <c r="X221" s="49"/>
      <c r="Y221" s="49"/>
    </row>
    <row r="222" spans="1:25">
      <c r="A222" s="50"/>
      <c r="B222" s="177"/>
      <c r="C222" s="177"/>
      <c r="D222" s="177"/>
      <c r="E222" s="53"/>
      <c r="F222" s="49"/>
      <c r="G222" s="55"/>
      <c r="H222" s="178"/>
      <c r="I222" s="178"/>
      <c r="J222" s="178"/>
      <c r="K222" s="56"/>
      <c r="L222" s="49"/>
      <c r="M222" s="60"/>
      <c r="N222" s="179"/>
      <c r="O222" s="179"/>
      <c r="P222" s="179"/>
      <c r="Q222" s="61"/>
      <c r="R222" s="49"/>
      <c r="S222" s="49"/>
      <c r="T222" s="49"/>
      <c r="U222" s="49"/>
      <c r="V222" s="49"/>
      <c r="W222" s="49"/>
      <c r="X222" s="49"/>
      <c r="Y222" s="49"/>
    </row>
    <row r="223" spans="1:25">
      <c r="A223" s="50"/>
      <c r="B223" s="562" t="s">
        <v>187</v>
      </c>
      <c r="C223" s="563"/>
      <c r="D223" s="564"/>
      <c r="E223" s="53"/>
      <c r="F223" s="49"/>
      <c r="G223" s="55"/>
      <c r="H223" s="178"/>
      <c r="I223" s="178"/>
      <c r="J223" s="178"/>
      <c r="K223" s="56"/>
      <c r="L223" s="49"/>
      <c r="M223" s="60"/>
      <c r="N223" s="179"/>
      <c r="O223" s="179"/>
      <c r="P223" s="179"/>
      <c r="Q223" s="61"/>
      <c r="R223" s="49"/>
      <c r="S223" s="49"/>
      <c r="T223" s="49"/>
      <c r="U223" s="49"/>
      <c r="V223" s="49"/>
      <c r="W223" s="49"/>
      <c r="X223" s="49"/>
      <c r="Y223" s="49"/>
    </row>
    <row r="224" spans="1:25">
      <c r="A224" s="50"/>
      <c r="B224" s="107" t="s">
        <v>106</v>
      </c>
      <c r="C224" s="180" t="s">
        <v>27</v>
      </c>
      <c r="D224" s="108"/>
      <c r="E224" s="53"/>
      <c r="F224" s="49"/>
      <c r="G224" s="55"/>
      <c r="H224" s="178"/>
      <c r="I224" s="178"/>
      <c r="J224" s="178"/>
      <c r="K224" s="56"/>
      <c r="L224" s="49"/>
      <c r="M224" s="60"/>
      <c r="N224" s="179"/>
      <c r="O224" s="179"/>
      <c r="P224" s="179"/>
      <c r="Q224" s="61"/>
      <c r="R224" s="49"/>
      <c r="S224" s="49"/>
      <c r="T224" s="49"/>
      <c r="U224" s="49"/>
      <c r="V224" s="49"/>
      <c r="W224" s="49"/>
      <c r="X224" s="49"/>
      <c r="Y224" s="49"/>
    </row>
    <row r="225" spans="1:25">
      <c r="A225" s="50"/>
      <c r="B225" s="107" t="s">
        <v>108</v>
      </c>
      <c r="C225" s="180" t="s">
        <v>99</v>
      </c>
      <c r="D225" s="108"/>
      <c r="E225" s="53"/>
      <c r="F225" s="49"/>
      <c r="G225" s="55"/>
      <c r="H225" s="178"/>
      <c r="I225" s="178"/>
      <c r="J225" s="178"/>
      <c r="K225" s="56"/>
      <c r="L225" s="49"/>
      <c r="M225" s="60"/>
      <c r="N225" s="179"/>
      <c r="O225" s="179"/>
      <c r="P225" s="179"/>
      <c r="Q225" s="61"/>
      <c r="R225" s="49"/>
      <c r="S225" s="49"/>
      <c r="T225" s="49"/>
      <c r="U225" s="49"/>
      <c r="V225" s="49"/>
      <c r="W225" s="49"/>
      <c r="X225" s="49"/>
      <c r="Y225" s="49"/>
    </row>
    <row r="226" spans="1:25">
      <c r="A226" s="50"/>
      <c r="B226" s="107" t="s">
        <v>48</v>
      </c>
      <c r="C226" s="180" t="s">
        <v>25</v>
      </c>
      <c r="D226" s="109"/>
      <c r="E226" s="53"/>
      <c r="F226" s="49"/>
      <c r="G226" s="55"/>
      <c r="H226" s="178"/>
      <c r="I226" s="178"/>
      <c r="J226" s="178"/>
      <c r="K226" s="56"/>
      <c r="L226" s="49"/>
      <c r="M226" s="60"/>
      <c r="N226" s="179"/>
      <c r="O226" s="179"/>
      <c r="P226" s="179"/>
      <c r="Q226" s="61"/>
      <c r="R226" s="49"/>
      <c r="S226" s="49"/>
      <c r="T226" s="49"/>
      <c r="U226" s="49"/>
      <c r="V226" s="49"/>
      <c r="W226" s="49"/>
      <c r="X226" s="49"/>
      <c r="Y226" s="49"/>
    </row>
    <row r="227" spans="1:25">
      <c r="A227" s="50"/>
      <c r="B227" s="107" t="s">
        <v>49</v>
      </c>
      <c r="C227" s="181">
        <v>45714</v>
      </c>
      <c r="D227" s="109"/>
      <c r="E227" s="53"/>
      <c r="F227" s="49"/>
      <c r="G227" s="55"/>
      <c r="H227" s="178"/>
      <c r="I227" s="178"/>
      <c r="J227" s="178"/>
      <c r="K227" s="56"/>
      <c r="L227" s="49"/>
      <c r="M227" s="60"/>
      <c r="N227" s="179"/>
      <c r="O227" s="179"/>
      <c r="P227" s="179"/>
      <c r="Q227" s="61"/>
      <c r="R227" s="49"/>
      <c r="S227" s="49"/>
      <c r="T227" s="49"/>
      <c r="U227" s="49"/>
      <c r="V227" s="49"/>
      <c r="W227" s="49"/>
      <c r="X227" s="49"/>
      <c r="Y227" s="49"/>
    </row>
    <row r="228" spans="1:25">
      <c r="A228" s="50"/>
      <c r="B228" s="110" t="s">
        <v>50</v>
      </c>
      <c r="C228" s="111">
        <v>45714</v>
      </c>
      <c r="D228" s="112"/>
      <c r="E228" s="53"/>
      <c r="F228" s="49"/>
      <c r="G228" s="55"/>
      <c r="H228" s="178"/>
      <c r="I228" s="178"/>
      <c r="J228" s="178"/>
      <c r="K228" s="56"/>
      <c r="L228" s="49"/>
      <c r="M228" s="60"/>
      <c r="N228" s="179"/>
      <c r="O228" s="179"/>
      <c r="P228" s="179"/>
      <c r="Q228" s="61"/>
      <c r="R228" s="49"/>
      <c r="S228" s="49"/>
      <c r="T228" s="49"/>
      <c r="U228" s="49"/>
      <c r="V228" s="49"/>
      <c r="W228" s="49"/>
      <c r="X228" s="49"/>
      <c r="Y228" s="49"/>
    </row>
    <row r="229" spans="1:25">
      <c r="A229" s="50"/>
      <c r="B229" s="177"/>
      <c r="C229" s="177"/>
      <c r="D229" s="177"/>
      <c r="E229" s="53"/>
      <c r="F229" s="49"/>
      <c r="G229" s="55"/>
      <c r="H229" s="178"/>
      <c r="I229" s="178"/>
      <c r="J229" s="178"/>
      <c r="K229" s="56"/>
      <c r="L229" s="49"/>
      <c r="M229" s="60"/>
      <c r="N229" s="179"/>
      <c r="O229" s="179"/>
      <c r="P229" s="179"/>
      <c r="Q229" s="61"/>
      <c r="R229" s="49"/>
      <c r="S229" s="49"/>
      <c r="T229" s="49"/>
      <c r="U229" s="49"/>
      <c r="V229" s="49"/>
      <c r="W229" s="49"/>
      <c r="X229" s="49"/>
      <c r="Y229" s="49"/>
    </row>
    <row r="230" spans="1:25">
      <c r="A230" s="50"/>
      <c r="B230" s="562" t="s">
        <v>187</v>
      </c>
      <c r="C230" s="563"/>
      <c r="D230" s="564"/>
      <c r="E230" s="53"/>
      <c r="F230" s="49"/>
      <c r="G230" s="55"/>
      <c r="H230" s="178"/>
      <c r="I230" s="178"/>
      <c r="J230" s="178"/>
      <c r="K230" s="56"/>
      <c r="L230" s="49"/>
      <c r="M230" s="60"/>
      <c r="N230" s="179"/>
      <c r="O230" s="179"/>
      <c r="P230" s="179"/>
      <c r="Q230" s="61"/>
      <c r="R230" s="49"/>
      <c r="S230" s="49"/>
      <c r="T230" s="49"/>
      <c r="U230" s="49"/>
      <c r="V230" s="49"/>
      <c r="W230" s="49"/>
      <c r="X230" s="49"/>
      <c r="Y230" s="49"/>
    </row>
    <row r="231" spans="1:25">
      <c r="A231" s="50"/>
      <c r="B231" s="107" t="s">
        <v>106</v>
      </c>
      <c r="C231" s="180" t="s">
        <v>210</v>
      </c>
      <c r="D231" s="108"/>
      <c r="E231" s="53"/>
      <c r="F231" s="49"/>
      <c r="G231" s="55"/>
      <c r="H231" s="178"/>
      <c r="I231" s="178"/>
      <c r="J231" s="178"/>
      <c r="K231" s="56"/>
      <c r="L231" s="49"/>
      <c r="M231" s="60"/>
      <c r="N231" s="179"/>
      <c r="O231" s="179"/>
      <c r="P231" s="179"/>
      <c r="Q231" s="61"/>
      <c r="R231" s="49"/>
      <c r="S231" s="49"/>
      <c r="T231" s="49"/>
      <c r="U231" s="49"/>
      <c r="V231" s="49"/>
      <c r="W231" s="49"/>
      <c r="X231" s="49"/>
      <c r="Y231" s="49"/>
    </row>
    <row r="232" spans="1:25">
      <c r="A232" s="50"/>
      <c r="B232" s="107" t="s">
        <v>108</v>
      </c>
      <c r="C232" s="180" t="s">
        <v>99</v>
      </c>
      <c r="D232" s="108"/>
      <c r="E232" s="53"/>
      <c r="F232" s="49"/>
      <c r="G232" s="55"/>
      <c r="H232" s="178"/>
      <c r="I232" s="178"/>
      <c r="J232" s="178"/>
      <c r="K232" s="56"/>
      <c r="L232" s="49"/>
      <c r="M232" s="60"/>
      <c r="N232" s="179"/>
      <c r="O232" s="179"/>
      <c r="P232" s="179"/>
      <c r="Q232" s="61"/>
      <c r="R232" s="49"/>
      <c r="S232" s="49"/>
      <c r="T232" s="49"/>
      <c r="U232" s="49"/>
      <c r="V232" s="49"/>
      <c r="W232" s="49"/>
      <c r="X232" s="49"/>
      <c r="Y232" s="49"/>
    </row>
    <row r="233" spans="1:25">
      <c r="A233" s="50"/>
      <c r="B233" s="107" t="s">
        <v>48</v>
      </c>
      <c r="C233" s="180" t="s">
        <v>102</v>
      </c>
      <c r="D233" s="109"/>
      <c r="E233" s="53"/>
      <c r="F233" s="49"/>
      <c r="G233" s="55"/>
      <c r="H233" s="178"/>
      <c r="I233" s="178"/>
      <c r="J233" s="178"/>
      <c r="K233" s="56"/>
      <c r="L233" s="49"/>
      <c r="M233" s="60"/>
      <c r="N233" s="179"/>
      <c r="O233" s="179"/>
      <c r="P233" s="179"/>
      <c r="Q233" s="61"/>
      <c r="R233" s="49"/>
      <c r="S233" s="49"/>
      <c r="T233" s="49"/>
      <c r="U233" s="49"/>
      <c r="V233" s="49"/>
      <c r="W233" s="49"/>
      <c r="X233" s="49"/>
      <c r="Y233" s="49"/>
    </row>
    <row r="234" spans="1:25">
      <c r="A234" s="50"/>
      <c r="B234" s="107" t="s">
        <v>49</v>
      </c>
      <c r="C234" s="181">
        <v>45702</v>
      </c>
      <c r="D234" s="109"/>
      <c r="E234" s="53"/>
      <c r="F234" s="49"/>
      <c r="G234" s="55"/>
      <c r="H234" s="178"/>
      <c r="I234" s="178"/>
      <c r="J234" s="178"/>
      <c r="K234" s="56"/>
      <c r="L234" s="49"/>
      <c r="M234" s="60"/>
      <c r="N234" s="179"/>
      <c r="O234" s="179"/>
      <c r="P234" s="179"/>
      <c r="Q234" s="61"/>
      <c r="R234" s="49"/>
      <c r="S234" s="49"/>
      <c r="T234" s="49"/>
      <c r="U234" s="49"/>
      <c r="V234" s="49"/>
      <c r="W234" s="49"/>
      <c r="X234" s="49"/>
      <c r="Y234" s="49"/>
    </row>
    <row r="235" spans="1:25">
      <c r="A235" s="50"/>
      <c r="B235" s="110" t="s">
        <v>50</v>
      </c>
      <c r="C235" s="111">
        <v>45705</v>
      </c>
      <c r="D235" s="112"/>
      <c r="E235" s="53"/>
      <c r="F235" s="49"/>
      <c r="G235" s="55"/>
      <c r="H235" s="178"/>
      <c r="I235" s="178"/>
      <c r="J235" s="178"/>
      <c r="K235" s="56"/>
      <c r="L235" s="49"/>
      <c r="M235" s="60"/>
      <c r="N235" s="179"/>
      <c r="O235" s="179"/>
      <c r="P235" s="179"/>
      <c r="Q235" s="61"/>
      <c r="R235" s="49"/>
      <c r="S235" s="49"/>
      <c r="T235" s="49"/>
      <c r="U235" s="49"/>
      <c r="V235" s="49"/>
      <c r="W235" s="49"/>
      <c r="X235" s="49"/>
      <c r="Y235" s="49"/>
    </row>
    <row r="236" spans="1:25">
      <c r="A236" s="50"/>
      <c r="B236" s="177"/>
      <c r="C236" s="177"/>
      <c r="D236" s="177"/>
      <c r="E236" s="53"/>
      <c r="F236" s="49"/>
      <c r="G236" s="55"/>
      <c r="H236" s="178"/>
      <c r="I236" s="178"/>
      <c r="J236" s="178"/>
      <c r="K236" s="56"/>
      <c r="L236" s="49"/>
      <c r="M236" s="60"/>
      <c r="N236" s="179"/>
      <c r="O236" s="179"/>
      <c r="P236" s="179"/>
      <c r="Q236" s="61"/>
      <c r="R236" s="49"/>
      <c r="S236" s="49"/>
      <c r="T236" s="49"/>
      <c r="U236" s="49"/>
      <c r="V236" s="49"/>
      <c r="W236" s="49"/>
      <c r="X236" s="49"/>
      <c r="Y236" s="49"/>
    </row>
    <row r="237" spans="1:25">
      <c r="A237" s="50"/>
      <c r="B237" s="562" t="s">
        <v>187</v>
      </c>
      <c r="C237" s="563"/>
      <c r="D237" s="564"/>
      <c r="E237" s="53"/>
      <c r="F237" s="49"/>
      <c r="G237" s="55"/>
      <c r="H237" s="178"/>
      <c r="I237" s="178"/>
      <c r="J237" s="178"/>
      <c r="K237" s="56"/>
      <c r="L237" s="49"/>
      <c r="M237" s="60"/>
      <c r="N237" s="179"/>
      <c r="O237" s="179"/>
      <c r="P237" s="179"/>
      <c r="Q237" s="61"/>
      <c r="R237" s="49"/>
      <c r="S237" s="49"/>
      <c r="T237" s="49"/>
      <c r="U237" s="49"/>
      <c r="V237" s="49"/>
      <c r="W237" s="49"/>
      <c r="X237" s="49"/>
      <c r="Y237" s="49"/>
    </row>
    <row r="238" spans="1:25">
      <c r="A238" s="50"/>
      <c r="B238" s="107" t="s">
        <v>106</v>
      </c>
      <c r="C238" s="180" t="s">
        <v>214</v>
      </c>
      <c r="D238" s="108"/>
      <c r="E238" s="53"/>
      <c r="F238" s="49"/>
      <c r="G238" s="55"/>
      <c r="H238" s="178"/>
      <c r="I238" s="178"/>
      <c r="J238" s="178"/>
      <c r="K238" s="56"/>
      <c r="L238" s="49"/>
      <c r="M238" s="60"/>
      <c r="N238" s="179"/>
      <c r="O238" s="179"/>
      <c r="P238" s="179"/>
      <c r="Q238" s="61"/>
      <c r="R238" s="49"/>
      <c r="S238" s="49"/>
      <c r="T238" s="49"/>
      <c r="U238" s="49"/>
      <c r="V238" s="49"/>
      <c r="W238" s="49"/>
      <c r="X238" s="49"/>
      <c r="Y238" s="49"/>
    </row>
    <row r="239" spans="1:25">
      <c r="A239" s="50"/>
      <c r="B239" s="107" t="s">
        <v>108</v>
      </c>
      <c r="C239" s="180" t="s">
        <v>99</v>
      </c>
      <c r="D239" s="108"/>
      <c r="E239" s="53"/>
      <c r="F239" s="49"/>
      <c r="G239" s="55"/>
      <c r="H239" s="178"/>
      <c r="I239" s="178"/>
      <c r="J239" s="178"/>
      <c r="K239" s="56"/>
      <c r="L239" s="49"/>
      <c r="M239" s="60"/>
      <c r="N239" s="179"/>
      <c r="O239" s="179"/>
      <c r="P239" s="179"/>
      <c r="Q239" s="61"/>
      <c r="R239" s="49"/>
      <c r="S239" s="49"/>
      <c r="T239" s="49"/>
      <c r="U239" s="49"/>
      <c r="V239" s="49"/>
      <c r="W239" s="49"/>
      <c r="X239" s="49"/>
      <c r="Y239" s="49"/>
    </row>
    <row r="240" spans="1:25">
      <c r="A240" s="50"/>
      <c r="B240" s="107" t="s">
        <v>48</v>
      </c>
      <c r="C240" s="180" t="s">
        <v>39</v>
      </c>
      <c r="D240" s="109"/>
      <c r="E240" s="53"/>
      <c r="F240" s="49"/>
      <c r="G240" s="55"/>
      <c r="H240" s="178"/>
      <c r="I240" s="178"/>
      <c r="J240" s="178"/>
      <c r="K240" s="56"/>
      <c r="L240" s="49"/>
      <c r="M240" s="60"/>
      <c r="N240" s="179"/>
      <c r="O240" s="179"/>
      <c r="P240" s="179"/>
      <c r="Q240" s="61"/>
      <c r="R240" s="49"/>
      <c r="S240" s="49"/>
      <c r="T240" s="49"/>
      <c r="U240" s="49"/>
      <c r="V240" s="49"/>
      <c r="W240" s="49"/>
      <c r="X240" s="49"/>
      <c r="Y240" s="49"/>
    </row>
    <row r="241" spans="1:25">
      <c r="A241" s="50"/>
      <c r="B241" s="107" t="s">
        <v>49</v>
      </c>
      <c r="C241" s="181">
        <v>45706</v>
      </c>
      <c r="D241" s="109"/>
      <c r="E241" s="53"/>
      <c r="F241" s="49"/>
      <c r="G241" s="55"/>
      <c r="H241" s="178"/>
      <c r="I241" s="178"/>
      <c r="J241" s="178"/>
      <c r="K241" s="56"/>
      <c r="L241" s="49"/>
      <c r="M241" s="60"/>
      <c r="N241" s="179"/>
      <c r="O241" s="179"/>
      <c r="P241" s="179"/>
      <c r="Q241" s="61"/>
      <c r="R241" s="49"/>
      <c r="S241" s="49"/>
      <c r="T241" s="49"/>
      <c r="U241" s="49"/>
      <c r="V241" s="49"/>
      <c r="W241" s="49"/>
      <c r="X241" s="49"/>
      <c r="Y241" s="49"/>
    </row>
    <row r="242" spans="1:25">
      <c r="A242" s="50"/>
      <c r="B242" s="110" t="s">
        <v>50</v>
      </c>
      <c r="C242" s="111">
        <v>45706</v>
      </c>
      <c r="D242" s="112"/>
      <c r="E242" s="53"/>
      <c r="F242" s="49"/>
      <c r="G242" s="55"/>
      <c r="H242" s="178"/>
      <c r="I242" s="178"/>
      <c r="J242" s="178"/>
      <c r="K242" s="56"/>
      <c r="L242" s="49"/>
      <c r="M242" s="60"/>
      <c r="N242" s="179"/>
      <c r="O242" s="179"/>
      <c r="P242" s="179"/>
      <c r="Q242" s="61"/>
      <c r="R242" s="49"/>
      <c r="S242" s="49"/>
      <c r="T242" s="49"/>
      <c r="U242" s="49"/>
      <c r="V242" s="49"/>
      <c r="W242" s="49"/>
      <c r="X242" s="49"/>
      <c r="Y242" s="49"/>
    </row>
    <row r="243" spans="1:25">
      <c r="A243" s="50"/>
      <c r="B243" s="177"/>
      <c r="C243" s="177"/>
      <c r="D243" s="177"/>
      <c r="E243" s="53"/>
      <c r="F243" s="49"/>
      <c r="G243" s="55"/>
      <c r="H243" s="178"/>
      <c r="I243" s="178"/>
      <c r="J243" s="178"/>
      <c r="K243" s="56"/>
      <c r="L243" s="49"/>
      <c r="M243" s="60"/>
      <c r="N243" s="179"/>
      <c r="O243" s="179"/>
      <c r="P243" s="179"/>
      <c r="Q243" s="61"/>
      <c r="R243" s="49"/>
      <c r="S243" s="49"/>
      <c r="T243" s="49"/>
      <c r="U243" s="49"/>
      <c r="V243" s="49"/>
      <c r="W243" s="49"/>
      <c r="X243" s="49"/>
      <c r="Y243" s="49"/>
    </row>
    <row r="244" spans="1:25">
      <c r="A244" s="50"/>
      <c r="B244" s="587" t="s">
        <v>189</v>
      </c>
      <c r="C244" s="588"/>
      <c r="D244" s="589"/>
      <c r="E244" s="53"/>
      <c r="F244" s="49"/>
      <c r="G244" s="55"/>
      <c r="H244" s="178"/>
      <c r="I244" s="178"/>
      <c r="J244" s="178"/>
      <c r="K244" s="56"/>
      <c r="L244" s="49"/>
      <c r="M244" s="60"/>
      <c r="N244" s="179"/>
      <c r="O244" s="179"/>
      <c r="P244" s="179"/>
      <c r="Q244" s="61"/>
      <c r="R244" s="49"/>
      <c r="S244" s="49"/>
      <c r="T244" s="49"/>
      <c r="U244" s="49"/>
      <c r="V244" s="49"/>
      <c r="W244" s="49"/>
      <c r="X244" s="49"/>
      <c r="Y244" s="49"/>
    </row>
    <row r="245" spans="1:25">
      <c r="A245" s="50"/>
      <c r="B245" s="248" t="s">
        <v>106</v>
      </c>
      <c r="C245" s="180" t="s">
        <v>27</v>
      </c>
      <c r="D245" s="249"/>
      <c r="E245" s="53"/>
      <c r="F245" s="49"/>
      <c r="G245" s="55"/>
      <c r="H245" s="178"/>
      <c r="I245" s="178"/>
      <c r="J245" s="178"/>
      <c r="K245" s="56"/>
      <c r="L245" s="49"/>
      <c r="M245" s="60"/>
      <c r="N245" s="179"/>
      <c r="O245" s="179"/>
      <c r="P245" s="179"/>
      <c r="Q245" s="61"/>
      <c r="R245" s="49"/>
      <c r="S245" s="49"/>
      <c r="T245" s="49"/>
      <c r="U245" s="49"/>
      <c r="V245" s="49"/>
      <c r="W245" s="49"/>
      <c r="X245" s="49"/>
      <c r="Y245" s="49"/>
    </row>
    <row r="246" spans="1:25">
      <c r="A246" s="50"/>
      <c r="B246" s="248" t="s">
        <v>108</v>
      </c>
      <c r="C246" s="180" t="s">
        <v>99</v>
      </c>
      <c r="D246" s="249"/>
      <c r="E246" s="53"/>
      <c r="F246" s="49"/>
      <c r="G246" s="55"/>
      <c r="H246" s="178"/>
      <c r="I246" s="178"/>
      <c r="J246" s="178"/>
      <c r="K246" s="56"/>
      <c r="L246" s="49"/>
      <c r="M246" s="60"/>
      <c r="N246" s="179"/>
      <c r="O246" s="179"/>
      <c r="P246" s="179"/>
      <c r="Q246" s="61"/>
      <c r="R246" s="49"/>
      <c r="S246" s="49"/>
      <c r="T246" s="49"/>
      <c r="U246" s="49"/>
      <c r="V246" s="49"/>
      <c r="W246" s="49"/>
      <c r="X246" s="49"/>
      <c r="Y246" s="49"/>
    </row>
    <row r="247" spans="1:25">
      <c r="A247" s="50"/>
      <c r="B247" s="248" t="s">
        <v>48</v>
      </c>
      <c r="C247" s="180" t="s">
        <v>25</v>
      </c>
      <c r="D247" s="250"/>
      <c r="E247" s="53"/>
      <c r="F247" s="49"/>
      <c r="G247" s="55"/>
      <c r="H247" s="178"/>
      <c r="I247" s="178"/>
      <c r="J247" s="178"/>
      <c r="K247" s="56"/>
      <c r="L247" s="49"/>
      <c r="M247" s="60"/>
      <c r="N247" s="179"/>
      <c r="O247" s="179"/>
      <c r="P247" s="179"/>
      <c r="Q247" s="61"/>
      <c r="R247" s="49"/>
      <c r="S247" s="49"/>
      <c r="T247" s="49"/>
      <c r="U247" s="49"/>
      <c r="V247" s="49"/>
      <c r="W247" s="49"/>
      <c r="X247" s="49"/>
      <c r="Y247" s="49"/>
    </row>
    <row r="248" spans="1:25">
      <c r="A248" s="50"/>
      <c r="B248" s="248" t="s">
        <v>49</v>
      </c>
      <c r="C248" s="181">
        <v>45715</v>
      </c>
      <c r="D248" s="250"/>
      <c r="E248" s="53"/>
      <c r="F248" s="49"/>
      <c r="G248" s="55"/>
      <c r="H248" s="178"/>
      <c r="I248" s="178"/>
      <c r="J248" s="178"/>
      <c r="K248" s="56"/>
      <c r="L248" s="49"/>
      <c r="M248" s="60"/>
      <c r="N248" s="179"/>
      <c r="O248" s="179"/>
      <c r="P248" s="179"/>
      <c r="Q248" s="61"/>
      <c r="R248" s="49"/>
      <c r="S248" s="49"/>
      <c r="T248" s="49"/>
      <c r="U248" s="49"/>
      <c r="V248" s="49"/>
      <c r="W248" s="49"/>
      <c r="X248" s="49"/>
      <c r="Y248" s="49"/>
    </row>
    <row r="249" spans="1:25">
      <c r="A249" s="50"/>
      <c r="B249" s="251" t="s">
        <v>50</v>
      </c>
      <c r="C249" s="252">
        <v>45715</v>
      </c>
      <c r="D249" s="253"/>
      <c r="E249" s="53"/>
      <c r="F249" s="49"/>
      <c r="G249" s="55"/>
      <c r="H249" s="178"/>
      <c r="I249" s="178"/>
      <c r="J249" s="178"/>
      <c r="K249" s="56"/>
      <c r="L249" s="49"/>
      <c r="M249" s="60"/>
      <c r="N249" s="179"/>
      <c r="O249" s="179"/>
      <c r="P249" s="179"/>
      <c r="Q249" s="61"/>
      <c r="R249" s="49"/>
      <c r="S249" s="49"/>
      <c r="T249" s="49"/>
      <c r="U249" s="49"/>
      <c r="V249" s="49"/>
      <c r="W249" s="49"/>
      <c r="X249" s="49"/>
      <c r="Y249" s="49"/>
    </row>
    <row r="250" spans="1:25">
      <c r="A250" s="50"/>
      <c r="B250" s="177"/>
      <c r="C250" s="177"/>
      <c r="D250" s="177"/>
      <c r="E250" s="53"/>
      <c r="F250" s="49"/>
      <c r="G250" s="55"/>
      <c r="H250" s="178"/>
      <c r="I250" s="178"/>
      <c r="J250" s="178"/>
      <c r="K250" s="56"/>
      <c r="L250" s="49"/>
      <c r="M250" s="60"/>
      <c r="N250" s="179"/>
      <c r="O250" s="179"/>
      <c r="P250" s="179"/>
      <c r="Q250" s="61"/>
      <c r="R250" s="49"/>
      <c r="S250" s="49"/>
      <c r="T250" s="49"/>
      <c r="U250" s="49"/>
      <c r="V250" s="49"/>
      <c r="W250" s="49"/>
      <c r="X250" s="49"/>
      <c r="Y250" s="49"/>
    </row>
    <row r="251" spans="1:25">
      <c r="A251" s="50"/>
      <c r="B251" s="587" t="s">
        <v>189</v>
      </c>
      <c r="C251" s="588"/>
      <c r="D251" s="589"/>
      <c r="E251" s="53"/>
      <c r="F251" s="49"/>
      <c r="G251" s="55"/>
      <c r="H251" s="178"/>
      <c r="I251" s="178"/>
      <c r="J251" s="178"/>
      <c r="K251" s="56"/>
      <c r="L251" s="49"/>
      <c r="M251" s="60"/>
      <c r="N251" s="179"/>
      <c r="O251" s="179"/>
      <c r="P251" s="179"/>
      <c r="Q251" s="61"/>
      <c r="R251" s="49"/>
      <c r="S251" s="49"/>
      <c r="T251" s="49"/>
      <c r="U251" s="49"/>
      <c r="V251" s="49"/>
      <c r="W251" s="49"/>
      <c r="X251" s="49"/>
      <c r="Y251" s="49"/>
    </row>
    <row r="252" spans="1:25">
      <c r="A252" s="50"/>
      <c r="B252" s="248" t="s">
        <v>106</v>
      </c>
      <c r="C252" s="180" t="s">
        <v>210</v>
      </c>
      <c r="D252" s="249"/>
      <c r="E252" s="53"/>
      <c r="F252" s="49"/>
      <c r="G252" s="55"/>
      <c r="H252" s="178"/>
      <c r="I252" s="178"/>
      <c r="J252" s="178"/>
      <c r="K252" s="56"/>
      <c r="L252" s="49"/>
      <c r="M252" s="60"/>
      <c r="N252" s="179"/>
      <c r="O252" s="179"/>
      <c r="P252" s="179"/>
      <c r="Q252" s="61"/>
      <c r="R252" s="49"/>
      <c r="S252" s="49"/>
      <c r="T252" s="49"/>
      <c r="U252" s="49"/>
      <c r="V252" s="49"/>
      <c r="W252" s="49"/>
      <c r="X252" s="49"/>
      <c r="Y252" s="49"/>
    </row>
    <row r="253" spans="1:25">
      <c r="A253" s="50"/>
      <c r="B253" s="248" t="s">
        <v>108</v>
      </c>
      <c r="C253" s="180" t="s">
        <v>99</v>
      </c>
      <c r="D253" s="249"/>
      <c r="E253" s="53"/>
      <c r="F253" s="49"/>
      <c r="G253" s="55"/>
      <c r="H253" s="178"/>
      <c r="I253" s="178"/>
      <c r="J253" s="178"/>
      <c r="K253" s="56"/>
      <c r="L253" s="49"/>
      <c r="M253" s="60"/>
      <c r="N253" s="179"/>
      <c r="O253" s="179"/>
      <c r="P253" s="179"/>
      <c r="Q253" s="61"/>
      <c r="R253" s="49"/>
      <c r="S253" s="49"/>
      <c r="T253" s="49"/>
      <c r="U253" s="49"/>
      <c r="V253" s="49"/>
      <c r="W253" s="49"/>
      <c r="X253" s="49"/>
      <c r="Y253" s="49"/>
    </row>
    <row r="254" spans="1:25">
      <c r="A254" s="50"/>
      <c r="B254" s="248" t="s">
        <v>48</v>
      </c>
      <c r="C254" s="180" t="s">
        <v>102</v>
      </c>
      <c r="D254" s="250"/>
      <c r="E254" s="53"/>
      <c r="F254" s="49"/>
      <c r="G254" s="55"/>
      <c r="H254" s="178"/>
      <c r="I254" s="178"/>
      <c r="J254" s="178"/>
      <c r="K254" s="56"/>
      <c r="L254" s="49"/>
      <c r="M254" s="60"/>
      <c r="N254" s="179"/>
      <c r="O254" s="179"/>
      <c r="P254" s="179"/>
      <c r="Q254" s="61"/>
      <c r="R254" s="49"/>
      <c r="S254" s="49"/>
      <c r="T254" s="49"/>
      <c r="U254" s="49"/>
      <c r="V254" s="49"/>
      <c r="W254" s="49"/>
      <c r="X254" s="49"/>
      <c r="Y254" s="49"/>
    </row>
    <row r="255" spans="1:25">
      <c r="A255" s="50"/>
      <c r="B255" s="248" t="s">
        <v>49</v>
      </c>
      <c r="C255" s="181">
        <v>45706</v>
      </c>
      <c r="D255" s="250"/>
      <c r="E255" s="53"/>
      <c r="F255" s="49"/>
      <c r="G255" s="55"/>
      <c r="H255" s="178"/>
      <c r="I255" s="178"/>
      <c r="J255" s="178"/>
      <c r="K255" s="56"/>
      <c r="L255" s="49"/>
      <c r="M255" s="60"/>
      <c r="N255" s="179"/>
      <c r="O255" s="179"/>
      <c r="P255" s="179"/>
      <c r="Q255" s="61"/>
      <c r="R255" s="49"/>
      <c r="S255" s="49"/>
      <c r="T255" s="49"/>
      <c r="U255" s="49"/>
      <c r="V255" s="49"/>
      <c r="W255" s="49"/>
      <c r="X255" s="49"/>
      <c r="Y255" s="49"/>
    </row>
    <row r="256" spans="1:25">
      <c r="A256" s="50"/>
      <c r="B256" s="251" t="s">
        <v>50</v>
      </c>
      <c r="C256" s="252">
        <v>45707</v>
      </c>
      <c r="D256" s="253"/>
      <c r="E256" s="53"/>
      <c r="F256" s="49"/>
      <c r="G256" s="55"/>
      <c r="H256" s="178"/>
      <c r="I256" s="178"/>
      <c r="J256" s="178"/>
      <c r="K256" s="56"/>
      <c r="L256" s="49"/>
      <c r="M256" s="60"/>
      <c r="N256" s="179"/>
      <c r="O256" s="179"/>
      <c r="P256" s="179"/>
      <c r="Q256" s="61"/>
      <c r="R256" s="49"/>
      <c r="S256" s="49"/>
      <c r="T256" s="49"/>
      <c r="U256" s="49"/>
      <c r="V256" s="49"/>
      <c r="W256" s="49"/>
      <c r="X256" s="49"/>
      <c r="Y256" s="49"/>
    </row>
    <row r="257" spans="1:25">
      <c r="A257" s="50"/>
      <c r="B257" s="177"/>
      <c r="C257" s="177"/>
      <c r="D257" s="177"/>
      <c r="E257" s="53"/>
      <c r="F257" s="49"/>
      <c r="G257" s="55"/>
      <c r="H257" s="178"/>
      <c r="I257" s="178"/>
      <c r="J257" s="178"/>
      <c r="K257" s="56"/>
      <c r="L257" s="49"/>
      <c r="M257" s="60"/>
      <c r="N257" s="179"/>
      <c r="O257" s="179"/>
      <c r="P257" s="179"/>
      <c r="Q257" s="61"/>
      <c r="R257" s="49"/>
      <c r="S257" s="49"/>
      <c r="T257" s="49"/>
      <c r="U257" s="49"/>
      <c r="V257" s="49"/>
      <c r="W257" s="49"/>
      <c r="X257" s="49"/>
      <c r="Y257" s="49"/>
    </row>
    <row r="258" spans="1:25">
      <c r="A258" s="50"/>
      <c r="B258" s="587" t="s">
        <v>189</v>
      </c>
      <c r="C258" s="588"/>
      <c r="D258" s="589"/>
      <c r="E258" s="53"/>
      <c r="F258" s="49"/>
      <c r="G258" s="55"/>
      <c r="H258" s="178"/>
      <c r="I258" s="178"/>
      <c r="J258" s="178"/>
      <c r="K258" s="56"/>
      <c r="L258" s="49"/>
      <c r="M258" s="60"/>
      <c r="N258" s="179"/>
      <c r="O258" s="179"/>
      <c r="P258" s="179"/>
      <c r="Q258" s="61"/>
      <c r="R258" s="49"/>
      <c r="S258" s="49"/>
      <c r="T258" s="49"/>
      <c r="U258" s="49"/>
      <c r="V258" s="49"/>
      <c r="W258" s="49"/>
      <c r="X258" s="49"/>
      <c r="Y258" s="49"/>
    </row>
    <row r="259" spans="1:25">
      <c r="A259" s="50"/>
      <c r="B259" s="248" t="s">
        <v>106</v>
      </c>
      <c r="C259" s="180" t="s">
        <v>214</v>
      </c>
      <c r="D259" s="249"/>
      <c r="E259" s="53"/>
      <c r="F259" s="49"/>
      <c r="G259" s="55"/>
      <c r="H259" s="178"/>
      <c r="I259" s="178"/>
      <c r="J259" s="178"/>
      <c r="K259" s="56"/>
      <c r="L259" s="49"/>
      <c r="M259" s="60"/>
      <c r="N259" s="179"/>
      <c r="O259" s="179"/>
      <c r="P259" s="179"/>
      <c r="Q259" s="61"/>
      <c r="R259" s="49"/>
      <c r="S259" s="49"/>
      <c r="T259" s="49"/>
      <c r="U259" s="49"/>
      <c r="V259" s="49"/>
      <c r="W259" s="49"/>
      <c r="X259" s="49"/>
      <c r="Y259" s="49"/>
    </row>
    <row r="260" spans="1:25">
      <c r="A260" s="50"/>
      <c r="B260" s="248" t="s">
        <v>108</v>
      </c>
      <c r="C260" s="180" t="s">
        <v>99</v>
      </c>
      <c r="D260" s="249"/>
      <c r="E260" s="53"/>
      <c r="F260" s="49"/>
      <c r="G260" s="55"/>
      <c r="H260" s="178"/>
      <c r="I260" s="178"/>
      <c r="J260" s="178"/>
      <c r="K260" s="56"/>
      <c r="L260" s="49"/>
      <c r="M260" s="60"/>
      <c r="N260" s="179"/>
      <c r="O260" s="179"/>
      <c r="P260" s="179"/>
      <c r="Q260" s="61"/>
      <c r="R260" s="49"/>
      <c r="S260" s="49"/>
      <c r="T260" s="49"/>
      <c r="U260" s="49"/>
      <c r="V260" s="49"/>
      <c r="W260" s="49"/>
      <c r="X260" s="49"/>
      <c r="Y260" s="49"/>
    </row>
    <row r="261" spans="1:25">
      <c r="A261" s="50"/>
      <c r="B261" s="248" t="s">
        <v>48</v>
      </c>
      <c r="C261" s="180" t="s">
        <v>39</v>
      </c>
      <c r="D261" s="250"/>
      <c r="E261" s="53"/>
      <c r="F261" s="49"/>
      <c r="G261" s="55"/>
      <c r="H261" s="178"/>
      <c r="I261" s="178"/>
      <c r="J261" s="178"/>
      <c r="K261" s="56"/>
      <c r="L261" s="49"/>
      <c r="M261" s="60"/>
      <c r="N261" s="179"/>
      <c r="O261" s="179"/>
      <c r="P261" s="179"/>
      <c r="Q261" s="61"/>
      <c r="R261" s="49"/>
      <c r="S261" s="49"/>
      <c r="T261" s="49"/>
      <c r="U261" s="49"/>
      <c r="V261" s="49"/>
      <c r="W261" s="49"/>
      <c r="X261" s="49"/>
      <c r="Y261" s="49"/>
    </row>
    <row r="262" spans="1:25">
      <c r="A262" s="50"/>
      <c r="B262" s="248" t="s">
        <v>49</v>
      </c>
      <c r="C262" s="181">
        <v>45708</v>
      </c>
      <c r="D262" s="250"/>
      <c r="E262" s="53"/>
      <c r="F262" s="49"/>
      <c r="G262" s="55"/>
      <c r="H262" s="178"/>
      <c r="I262" s="178"/>
      <c r="J262" s="178"/>
      <c r="K262" s="56"/>
      <c r="L262" s="49"/>
      <c r="M262" s="60"/>
      <c r="N262" s="179"/>
      <c r="O262" s="179"/>
      <c r="P262" s="179"/>
      <c r="Q262" s="61"/>
      <c r="R262" s="49"/>
      <c r="S262" s="49"/>
      <c r="T262" s="49"/>
      <c r="U262" s="49"/>
      <c r="V262" s="49"/>
      <c r="W262" s="49"/>
      <c r="X262" s="49"/>
      <c r="Y262" s="49"/>
    </row>
    <row r="263" spans="1:25">
      <c r="A263" s="50"/>
      <c r="B263" s="251" t="s">
        <v>50</v>
      </c>
      <c r="C263" s="252">
        <v>45712</v>
      </c>
      <c r="D263" s="253"/>
      <c r="E263" s="53"/>
      <c r="F263" s="49"/>
      <c r="G263" s="55"/>
      <c r="H263" s="178"/>
      <c r="I263" s="178"/>
      <c r="J263" s="178"/>
      <c r="K263" s="56"/>
      <c r="L263" s="49"/>
      <c r="M263" s="60"/>
      <c r="N263" s="179"/>
      <c r="O263" s="179"/>
      <c r="P263" s="179"/>
      <c r="Q263" s="61"/>
      <c r="R263" s="49"/>
      <c r="S263" s="49"/>
      <c r="T263" s="49"/>
      <c r="U263" s="49"/>
      <c r="V263" s="49"/>
      <c r="W263" s="49"/>
      <c r="X263" s="49"/>
      <c r="Y263" s="49"/>
    </row>
    <row r="264" spans="1:25">
      <c r="A264" s="50"/>
      <c r="B264" s="177"/>
      <c r="C264" s="177"/>
      <c r="D264" s="177"/>
      <c r="E264" s="53"/>
      <c r="F264" s="49"/>
      <c r="G264" s="55"/>
      <c r="H264" s="178"/>
      <c r="I264" s="178"/>
      <c r="J264" s="178"/>
      <c r="K264" s="56"/>
      <c r="L264" s="49"/>
      <c r="M264" s="60"/>
      <c r="N264" s="179"/>
      <c r="O264" s="179"/>
      <c r="P264" s="179"/>
      <c r="Q264" s="61"/>
      <c r="R264" s="49"/>
      <c r="S264" s="49"/>
      <c r="T264" s="49"/>
      <c r="U264" s="49"/>
      <c r="V264" s="49"/>
      <c r="W264" s="49"/>
      <c r="X264" s="49"/>
      <c r="Y264" s="49"/>
    </row>
    <row r="265" spans="1:25">
      <c r="A265" s="50"/>
      <c r="B265" s="605" t="s">
        <v>192</v>
      </c>
      <c r="C265" s="606"/>
      <c r="D265" s="607"/>
      <c r="E265" s="53"/>
      <c r="F265" s="49"/>
      <c r="G265" s="55"/>
      <c r="H265" s="178"/>
      <c r="I265" s="178"/>
      <c r="J265" s="178"/>
      <c r="K265" s="56"/>
      <c r="L265" s="49"/>
      <c r="M265" s="60"/>
      <c r="N265" s="179"/>
      <c r="O265" s="179"/>
      <c r="P265" s="179"/>
      <c r="Q265" s="61"/>
      <c r="R265" s="49"/>
      <c r="S265" s="49"/>
      <c r="T265" s="49"/>
      <c r="U265" s="49"/>
      <c r="V265" s="49"/>
      <c r="W265" s="49"/>
      <c r="X265" s="49"/>
      <c r="Y265" s="49"/>
    </row>
    <row r="266" spans="1:25">
      <c r="A266" s="50"/>
      <c r="B266" s="254" t="s">
        <v>106</v>
      </c>
      <c r="C266" s="180" t="s">
        <v>27</v>
      </c>
      <c r="D266" s="255"/>
      <c r="E266" s="53"/>
      <c r="F266" s="49"/>
      <c r="G266" s="55"/>
      <c r="H266" s="178"/>
      <c r="I266" s="178"/>
      <c r="J266" s="178"/>
      <c r="K266" s="56"/>
      <c r="L266" s="49"/>
      <c r="M266" s="60"/>
      <c r="N266" s="179"/>
      <c r="O266" s="179"/>
      <c r="P266" s="179"/>
      <c r="Q266" s="61"/>
      <c r="R266" s="49"/>
      <c r="S266" s="49"/>
      <c r="T266" s="49"/>
      <c r="U266" s="49"/>
      <c r="V266" s="49"/>
      <c r="W266" s="49"/>
      <c r="X266" s="49"/>
      <c r="Y266" s="49"/>
    </row>
    <row r="267" spans="1:25">
      <c r="A267" s="50"/>
      <c r="B267" s="254" t="s">
        <v>108</v>
      </c>
      <c r="C267" s="180" t="s">
        <v>99</v>
      </c>
      <c r="D267" s="255"/>
      <c r="E267" s="53"/>
      <c r="F267" s="49"/>
      <c r="G267" s="55"/>
      <c r="H267" s="178"/>
      <c r="I267" s="178"/>
      <c r="J267" s="178"/>
      <c r="K267" s="56"/>
      <c r="L267" s="49"/>
      <c r="M267" s="60"/>
      <c r="N267" s="179"/>
      <c r="O267" s="179"/>
      <c r="P267" s="179"/>
      <c r="Q267" s="61"/>
      <c r="R267" s="49"/>
      <c r="S267" s="49"/>
      <c r="T267" s="49"/>
      <c r="U267" s="49"/>
      <c r="V267" s="49"/>
      <c r="W267" s="49"/>
      <c r="X267" s="49"/>
      <c r="Y267" s="49"/>
    </row>
    <row r="268" spans="1:25">
      <c r="A268" s="50"/>
      <c r="B268" s="254" t="s">
        <v>48</v>
      </c>
      <c r="C268" s="180" t="s">
        <v>25</v>
      </c>
      <c r="D268" s="256"/>
      <c r="E268" s="53"/>
      <c r="F268" s="49"/>
      <c r="G268" s="55"/>
      <c r="H268" s="178"/>
      <c r="I268" s="178"/>
      <c r="J268" s="178"/>
      <c r="K268" s="56"/>
      <c r="L268" s="49"/>
      <c r="M268" s="60"/>
      <c r="N268" s="179"/>
      <c r="O268" s="179"/>
      <c r="P268" s="179"/>
      <c r="Q268" s="61"/>
      <c r="R268" s="49"/>
      <c r="S268" s="49"/>
      <c r="T268" s="49"/>
      <c r="U268" s="49"/>
      <c r="V268" s="49"/>
      <c r="W268" s="49"/>
      <c r="X268" s="49"/>
      <c r="Y268" s="49"/>
    </row>
    <row r="269" spans="1:25">
      <c r="A269" s="50"/>
      <c r="B269" s="254" t="s">
        <v>49</v>
      </c>
      <c r="C269" s="181">
        <v>45716</v>
      </c>
      <c r="D269" s="256"/>
      <c r="E269" s="53"/>
      <c r="F269" s="49"/>
      <c r="G269" s="55"/>
      <c r="H269" s="178"/>
      <c r="I269" s="178"/>
      <c r="J269" s="178"/>
      <c r="K269" s="56"/>
      <c r="L269" s="49"/>
      <c r="M269" s="60"/>
      <c r="N269" s="179"/>
      <c r="O269" s="179"/>
      <c r="P269" s="179"/>
      <c r="Q269" s="61"/>
      <c r="R269" s="49"/>
      <c r="S269" s="49"/>
      <c r="T269" s="49"/>
      <c r="U269" s="49"/>
      <c r="V269" s="49"/>
      <c r="W269" s="49"/>
      <c r="X269" s="49"/>
      <c r="Y269" s="49"/>
    </row>
    <row r="270" spans="1:25">
      <c r="A270" s="50"/>
      <c r="B270" s="257" t="s">
        <v>50</v>
      </c>
      <c r="C270" s="258">
        <v>45716</v>
      </c>
      <c r="D270" s="259"/>
      <c r="E270" s="53"/>
      <c r="F270" s="49"/>
      <c r="G270" s="55"/>
      <c r="H270" s="178"/>
      <c r="I270" s="178"/>
      <c r="J270" s="178"/>
      <c r="K270" s="56"/>
      <c r="L270" s="49"/>
      <c r="M270" s="60"/>
      <c r="N270" s="179"/>
      <c r="O270" s="179"/>
      <c r="P270" s="179"/>
      <c r="Q270" s="61"/>
      <c r="R270" s="49"/>
      <c r="S270" s="49"/>
      <c r="T270" s="49"/>
      <c r="U270" s="49"/>
      <c r="V270" s="49"/>
      <c r="W270" s="49"/>
      <c r="X270" s="49"/>
      <c r="Y270" s="49"/>
    </row>
    <row r="271" spans="1:25">
      <c r="A271" s="50"/>
      <c r="B271" s="177"/>
      <c r="C271" s="177"/>
      <c r="D271" s="177"/>
      <c r="E271" s="53"/>
      <c r="F271" s="49"/>
      <c r="G271" s="55"/>
      <c r="H271" s="178"/>
      <c r="I271" s="178"/>
      <c r="J271" s="178"/>
      <c r="K271" s="56"/>
      <c r="L271" s="49"/>
      <c r="M271" s="60"/>
      <c r="N271" s="179"/>
      <c r="O271" s="179"/>
      <c r="P271" s="179"/>
      <c r="Q271" s="61"/>
      <c r="R271" s="49"/>
      <c r="S271" s="49"/>
      <c r="T271" s="49"/>
      <c r="U271" s="49"/>
      <c r="V271" s="49"/>
      <c r="W271" s="49"/>
      <c r="X271" s="49"/>
      <c r="Y271" s="49"/>
    </row>
    <row r="272" spans="1:25">
      <c r="A272" s="50"/>
      <c r="B272" s="605" t="s">
        <v>192</v>
      </c>
      <c r="C272" s="606"/>
      <c r="D272" s="607"/>
      <c r="E272" s="53"/>
      <c r="F272" s="49"/>
      <c r="G272" s="55"/>
      <c r="H272" s="178"/>
      <c r="I272" s="178"/>
      <c r="J272" s="178"/>
      <c r="K272" s="56"/>
      <c r="L272" s="49"/>
      <c r="M272" s="60"/>
      <c r="N272" s="179"/>
      <c r="O272" s="179"/>
      <c r="P272" s="179"/>
      <c r="Q272" s="61"/>
      <c r="R272" s="49"/>
      <c r="S272" s="49"/>
      <c r="T272" s="49"/>
      <c r="U272" s="49"/>
      <c r="V272" s="49"/>
      <c r="W272" s="49"/>
      <c r="X272" s="49"/>
      <c r="Y272" s="49"/>
    </row>
    <row r="273" spans="1:25">
      <c r="A273" s="50"/>
      <c r="B273" s="254" t="s">
        <v>106</v>
      </c>
      <c r="C273" s="180" t="s">
        <v>210</v>
      </c>
      <c r="D273" s="255"/>
      <c r="E273" s="53"/>
      <c r="F273" s="49"/>
      <c r="G273" s="55"/>
      <c r="H273" s="178"/>
      <c r="I273" s="178"/>
      <c r="J273" s="178"/>
      <c r="K273" s="56"/>
      <c r="L273" s="49"/>
      <c r="M273" s="60"/>
      <c r="N273" s="179"/>
      <c r="O273" s="179"/>
      <c r="P273" s="179"/>
      <c r="Q273" s="61"/>
      <c r="R273" s="49"/>
      <c r="S273" s="49"/>
      <c r="T273" s="49"/>
      <c r="U273" s="49"/>
      <c r="V273" s="49"/>
      <c r="W273" s="49"/>
      <c r="X273" s="49"/>
      <c r="Y273" s="49"/>
    </row>
    <row r="274" spans="1:25">
      <c r="A274" s="50"/>
      <c r="B274" s="254" t="s">
        <v>108</v>
      </c>
      <c r="C274" s="180" t="s">
        <v>99</v>
      </c>
      <c r="D274" s="255"/>
      <c r="E274" s="53"/>
      <c r="F274" s="49"/>
      <c r="G274" s="55"/>
      <c r="H274" s="178"/>
      <c r="I274" s="178"/>
      <c r="J274" s="178"/>
      <c r="K274" s="56"/>
      <c r="L274" s="49"/>
      <c r="M274" s="60"/>
      <c r="N274" s="179"/>
      <c r="O274" s="179"/>
      <c r="P274" s="179"/>
      <c r="Q274" s="61"/>
      <c r="R274" s="49"/>
      <c r="S274" s="49"/>
      <c r="T274" s="49"/>
      <c r="U274" s="49"/>
      <c r="V274" s="49"/>
      <c r="W274" s="49"/>
      <c r="X274" s="49"/>
      <c r="Y274" s="49"/>
    </row>
    <row r="275" spans="1:25">
      <c r="A275" s="50"/>
      <c r="B275" s="254" t="s">
        <v>48</v>
      </c>
      <c r="C275" s="180" t="s">
        <v>102</v>
      </c>
      <c r="D275" s="256"/>
      <c r="E275" s="53"/>
      <c r="F275" s="49"/>
      <c r="G275" s="55"/>
      <c r="H275" s="178"/>
      <c r="I275" s="178"/>
      <c r="J275" s="178"/>
      <c r="K275" s="56"/>
      <c r="L275" s="49"/>
      <c r="M275" s="60"/>
      <c r="N275" s="179"/>
      <c r="O275" s="179"/>
      <c r="P275" s="179"/>
      <c r="Q275" s="61"/>
      <c r="R275" s="49"/>
      <c r="S275" s="49"/>
      <c r="T275" s="49"/>
      <c r="U275" s="49"/>
      <c r="V275" s="49"/>
      <c r="W275" s="49"/>
      <c r="X275" s="49"/>
      <c r="Y275" s="49"/>
    </row>
    <row r="276" spans="1:25">
      <c r="A276" s="50"/>
      <c r="B276" s="254" t="s">
        <v>49</v>
      </c>
      <c r="C276" s="181">
        <v>45706</v>
      </c>
      <c r="D276" s="256"/>
      <c r="E276" s="53"/>
      <c r="F276" s="49"/>
      <c r="G276" s="55"/>
      <c r="H276" s="178"/>
      <c r="I276" s="178"/>
      <c r="J276" s="178"/>
      <c r="K276" s="56"/>
      <c r="L276" s="49"/>
      <c r="M276" s="60"/>
      <c r="N276" s="179"/>
      <c r="O276" s="179"/>
      <c r="P276" s="179"/>
      <c r="Q276" s="61"/>
      <c r="R276" s="49"/>
      <c r="S276" s="49"/>
      <c r="T276" s="49"/>
      <c r="U276" s="49"/>
      <c r="V276" s="49"/>
      <c r="W276" s="49"/>
      <c r="X276" s="49"/>
      <c r="Y276" s="49"/>
    </row>
    <row r="277" spans="1:25">
      <c r="A277" s="50"/>
      <c r="B277" s="257" t="s">
        <v>50</v>
      </c>
      <c r="C277" s="258">
        <v>45707</v>
      </c>
      <c r="D277" s="259"/>
      <c r="E277" s="53"/>
      <c r="F277" s="49"/>
      <c r="G277" s="55"/>
      <c r="H277" s="178"/>
      <c r="I277" s="178"/>
      <c r="J277" s="178"/>
      <c r="K277" s="56"/>
      <c r="L277" s="49"/>
      <c r="M277" s="60"/>
      <c r="N277" s="179"/>
      <c r="O277" s="179"/>
      <c r="P277" s="179"/>
      <c r="Q277" s="61"/>
      <c r="R277" s="49"/>
      <c r="S277" s="49"/>
      <c r="T277" s="49"/>
      <c r="U277" s="49"/>
      <c r="V277" s="49"/>
      <c r="W277" s="49"/>
      <c r="X277" s="49"/>
      <c r="Y277" s="49"/>
    </row>
    <row r="278" spans="1:25">
      <c r="A278" s="50"/>
      <c r="B278" s="177"/>
      <c r="C278" s="177"/>
      <c r="D278" s="177"/>
      <c r="E278" s="53"/>
      <c r="F278" s="49"/>
      <c r="G278" s="55"/>
      <c r="H278" s="178"/>
      <c r="I278" s="178"/>
      <c r="J278" s="178"/>
      <c r="K278" s="56"/>
      <c r="L278" s="49"/>
      <c r="M278" s="60"/>
      <c r="N278" s="179"/>
      <c r="O278" s="179"/>
      <c r="P278" s="179"/>
      <c r="Q278" s="61"/>
      <c r="R278" s="49"/>
      <c r="S278" s="49"/>
      <c r="T278" s="49"/>
      <c r="U278" s="49"/>
      <c r="V278" s="49"/>
      <c r="W278" s="49"/>
      <c r="X278" s="49"/>
      <c r="Y278" s="49"/>
    </row>
    <row r="279" spans="1:25">
      <c r="A279" s="50"/>
      <c r="B279" s="605" t="s">
        <v>192</v>
      </c>
      <c r="C279" s="606"/>
      <c r="D279" s="607"/>
      <c r="E279" s="53"/>
      <c r="F279" s="49"/>
      <c r="G279" s="55"/>
      <c r="H279" s="178"/>
      <c r="I279" s="178"/>
      <c r="J279" s="178"/>
      <c r="K279" s="56"/>
      <c r="L279" s="49"/>
      <c r="M279" s="60"/>
      <c r="N279" s="179"/>
      <c r="O279" s="179"/>
      <c r="P279" s="179"/>
      <c r="Q279" s="61"/>
      <c r="R279" s="49"/>
      <c r="S279" s="49"/>
      <c r="T279" s="49"/>
      <c r="U279" s="49"/>
      <c r="V279" s="49"/>
      <c r="W279" s="49"/>
      <c r="X279" s="49"/>
      <c r="Y279" s="49"/>
    </row>
    <row r="280" spans="1:25">
      <c r="A280" s="50"/>
      <c r="B280" s="254" t="s">
        <v>106</v>
      </c>
      <c r="C280" s="180" t="s">
        <v>214</v>
      </c>
      <c r="D280" s="255"/>
      <c r="E280" s="53"/>
      <c r="F280" s="49"/>
      <c r="G280" s="55"/>
      <c r="H280" s="178"/>
      <c r="I280" s="178"/>
      <c r="J280" s="178"/>
      <c r="K280" s="56"/>
      <c r="L280" s="49"/>
      <c r="M280" s="60"/>
      <c r="N280" s="179"/>
      <c r="O280" s="179"/>
      <c r="P280" s="179"/>
      <c r="Q280" s="61"/>
      <c r="R280" s="49"/>
      <c r="S280" s="49"/>
      <c r="T280" s="49"/>
      <c r="U280" s="49"/>
      <c r="V280" s="49"/>
      <c r="W280" s="49"/>
      <c r="X280" s="49"/>
      <c r="Y280" s="49"/>
    </row>
    <row r="281" spans="1:25">
      <c r="A281" s="50"/>
      <c r="B281" s="254" t="s">
        <v>108</v>
      </c>
      <c r="C281" s="180" t="s">
        <v>99</v>
      </c>
      <c r="D281" s="255"/>
      <c r="E281" s="53"/>
      <c r="F281" s="49"/>
      <c r="G281" s="55"/>
      <c r="H281" s="178"/>
      <c r="I281" s="178"/>
      <c r="J281" s="178"/>
      <c r="K281" s="56"/>
      <c r="L281" s="49"/>
      <c r="M281" s="60"/>
      <c r="N281" s="179"/>
      <c r="O281" s="179"/>
      <c r="P281" s="179"/>
      <c r="Q281" s="61"/>
      <c r="R281" s="49"/>
      <c r="S281" s="49"/>
      <c r="T281" s="49"/>
      <c r="U281" s="49"/>
      <c r="V281" s="49"/>
      <c r="W281" s="49"/>
      <c r="X281" s="49"/>
      <c r="Y281" s="49"/>
    </row>
    <row r="282" spans="1:25">
      <c r="A282" s="50"/>
      <c r="B282" s="254" t="s">
        <v>48</v>
      </c>
      <c r="C282" s="180" t="s">
        <v>39</v>
      </c>
      <c r="D282" s="256"/>
      <c r="E282" s="53"/>
      <c r="F282" s="49"/>
      <c r="G282" s="55"/>
      <c r="H282" s="178"/>
      <c r="I282" s="178"/>
      <c r="J282" s="178"/>
      <c r="K282" s="56"/>
      <c r="L282" s="49"/>
      <c r="M282" s="60"/>
      <c r="N282" s="179"/>
      <c r="O282" s="179"/>
      <c r="P282" s="179"/>
      <c r="Q282" s="61"/>
      <c r="R282" s="49"/>
      <c r="S282" s="49"/>
      <c r="T282" s="49"/>
      <c r="U282" s="49"/>
      <c r="V282" s="49"/>
      <c r="W282" s="49"/>
      <c r="X282" s="49"/>
      <c r="Y282" s="49"/>
    </row>
    <row r="283" spans="1:25">
      <c r="A283" s="50"/>
      <c r="B283" s="254" t="s">
        <v>49</v>
      </c>
      <c r="C283" s="181">
        <v>45708</v>
      </c>
      <c r="D283" s="256"/>
      <c r="E283" s="53"/>
      <c r="F283" s="49"/>
      <c r="G283" s="55"/>
      <c r="H283" s="178"/>
      <c r="I283" s="178"/>
      <c r="J283" s="178"/>
      <c r="K283" s="56"/>
      <c r="L283" s="49"/>
      <c r="M283" s="60"/>
      <c r="N283" s="179"/>
      <c r="O283" s="179"/>
      <c r="P283" s="179"/>
      <c r="Q283" s="61"/>
      <c r="R283" s="49"/>
      <c r="S283" s="49"/>
      <c r="T283" s="49"/>
      <c r="U283" s="49"/>
      <c r="V283" s="49"/>
      <c r="W283" s="49"/>
      <c r="X283" s="49"/>
      <c r="Y283" s="49"/>
    </row>
    <row r="284" spans="1:25">
      <c r="A284" s="50"/>
      <c r="B284" s="257" t="s">
        <v>50</v>
      </c>
      <c r="C284" s="258">
        <v>45714</v>
      </c>
      <c r="D284" s="259"/>
      <c r="E284" s="53"/>
      <c r="F284" s="49"/>
      <c r="G284" s="55"/>
      <c r="H284" s="178"/>
      <c r="I284" s="178"/>
      <c r="J284" s="178"/>
      <c r="K284" s="56"/>
      <c r="L284" s="49"/>
      <c r="M284" s="60"/>
      <c r="N284" s="179"/>
      <c r="O284" s="179"/>
      <c r="P284" s="179"/>
      <c r="Q284" s="61"/>
      <c r="R284" s="49"/>
      <c r="S284" s="49"/>
      <c r="T284" s="49"/>
      <c r="U284" s="49"/>
      <c r="V284" s="49"/>
      <c r="W284" s="49"/>
      <c r="X284" s="49"/>
      <c r="Y284" s="49"/>
    </row>
    <row r="285" spans="1:25">
      <c r="A285" s="50"/>
      <c r="B285" s="177"/>
      <c r="C285" s="177"/>
      <c r="D285" s="177"/>
      <c r="E285" s="53"/>
      <c r="F285" s="49"/>
      <c r="G285" s="55"/>
      <c r="H285" s="178"/>
      <c r="I285" s="178"/>
      <c r="J285" s="178"/>
      <c r="K285" s="56"/>
      <c r="L285" s="49"/>
      <c r="M285" s="60"/>
      <c r="N285" s="179"/>
      <c r="O285" s="179"/>
      <c r="P285" s="179"/>
      <c r="Q285" s="61"/>
      <c r="R285" s="49"/>
      <c r="S285" s="49"/>
      <c r="T285" s="49"/>
      <c r="U285" s="49"/>
      <c r="V285" s="49"/>
      <c r="W285" s="49"/>
      <c r="X285" s="49"/>
      <c r="Y285" s="49"/>
    </row>
    <row r="286" spans="1:25">
      <c r="A286" s="50"/>
      <c r="B286" s="492" t="s">
        <v>195</v>
      </c>
      <c r="C286" s="493"/>
      <c r="D286" s="494"/>
      <c r="E286" s="53"/>
      <c r="F286" s="49"/>
      <c r="G286" s="55"/>
      <c r="H286" s="178"/>
      <c r="I286" s="178"/>
      <c r="J286" s="178"/>
      <c r="K286" s="56"/>
      <c r="L286" s="49"/>
      <c r="M286" s="60"/>
      <c r="N286" s="179"/>
      <c r="O286" s="179"/>
      <c r="P286" s="179"/>
      <c r="Q286" s="61"/>
      <c r="R286" s="49"/>
      <c r="S286" s="49"/>
      <c r="T286" s="49"/>
      <c r="U286" s="49"/>
      <c r="V286" s="49"/>
      <c r="W286" s="49"/>
      <c r="X286" s="49"/>
      <c r="Y286" s="49"/>
    </row>
    <row r="287" spans="1:25">
      <c r="A287" s="50"/>
      <c r="B287" s="260" t="s">
        <v>106</v>
      </c>
      <c r="C287" s="180" t="s">
        <v>27</v>
      </c>
      <c r="D287" s="261"/>
      <c r="E287" s="53"/>
      <c r="F287" s="49"/>
      <c r="G287" s="55"/>
      <c r="H287" s="178"/>
      <c r="I287" s="178"/>
      <c r="J287" s="178"/>
      <c r="K287" s="56"/>
      <c r="L287" s="49"/>
      <c r="M287" s="60"/>
      <c r="N287" s="179"/>
      <c r="O287" s="179"/>
      <c r="P287" s="179"/>
      <c r="Q287" s="61"/>
      <c r="R287" s="49"/>
      <c r="S287" s="49"/>
      <c r="T287" s="49"/>
      <c r="U287" s="49"/>
      <c r="V287" s="49"/>
      <c r="W287" s="49"/>
      <c r="X287" s="49"/>
      <c r="Y287" s="49"/>
    </row>
    <row r="288" spans="1:25">
      <c r="A288" s="50"/>
      <c r="B288" s="260" t="s">
        <v>108</v>
      </c>
      <c r="C288" s="180" t="s">
        <v>99</v>
      </c>
      <c r="D288" s="261"/>
      <c r="E288" s="53"/>
      <c r="F288" s="49"/>
      <c r="G288" s="55"/>
      <c r="H288" s="178"/>
      <c r="I288" s="178"/>
      <c r="J288" s="178"/>
      <c r="K288" s="56"/>
      <c r="L288" s="49"/>
      <c r="M288" s="60"/>
      <c r="N288" s="179"/>
      <c r="O288" s="179"/>
      <c r="P288" s="179"/>
      <c r="Q288" s="61"/>
      <c r="R288" s="49"/>
      <c r="S288" s="49"/>
      <c r="T288" s="49"/>
      <c r="U288" s="49"/>
      <c r="V288" s="49"/>
      <c r="W288" s="49"/>
      <c r="X288" s="49"/>
      <c r="Y288" s="49"/>
    </row>
    <row r="289" spans="1:25">
      <c r="A289" s="50"/>
      <c r="B289" s="260" t="s">
        <v>48</v>
      </c>
      <c r="C289" s="180" t="s">
        <v>25</v>
      </c>
      <c r="D289" s="262"/>
      <c r="E289" s="53"/>
      <c r="F289" s="49"/>
      <c r="G289" s="55"/>
      <c r="H289" s="178"/>
      <c r="I289" s="178"/>
      <c r="J289" s="178"/>
      <c r="K289" s="56"/>
      <c r="L289" s="49"/>
      <c r="M289" s="60"/>
      <c r="N289" s="179"/>
      <c r="O289" s="179"/>
      <c r="P289" s="179"/>
      <c r="Q289" s="61"/>
      <c r="R289" s="49"/>
      <c r="S289" s="49"/>
      <c r="T289" s="49"/>
      <c r="U289" s="49"/>
      <c r="V289" s="49"/>
      <c r="W289" s="49"/>
      <c r="X289" s="49"/>
      <c r="Y289" s="49"/>
    </row>
    <row r="290" spans="1:25">
      <c r="A290" s="50"/>
      <c r="B290" s="260" t="s">
        <v>49</v>
      </c>
      <c r="C290" s="181">
        <v>45721</v>
      </c>
      <c r="D290" s="262"/>
      <c r="E290" s="53"/>
      <c r="F290" s="49"/>
      <c r="G290" s="55"/>
      <c r="H290" s="178"/>
      <c r="I290" s="178"/>
      <c r="J290" s="178"/>
      <c r="K290" s="56"/>
      <c r="L290" s="49"/>
      <c r="M290" s="60"/>
      <c r="N290" s="179"/>
      <c r="O290" s="179"/>
      <c r="P290" s="179"/>
      <c r="Q290" s="61"/>
      <c r="R290" s="49"/>
      <c r="S290" s="49"/>
      <c r="T290" s="49"/>
      <c r="U290" s="49"/>
      <c r="V290" s="49"/>
      <c r="W290" s="49"/>
      <c r="X290" s="49"/>
      <c r="Y290" s="49"/>
    </row>
    <row r="291" spans="1:25">
      <c r="A291" s="50"/>
      <c r="B291" s="263" t="s">
        <v>50</v>
      </c>
      <c r="C291" s="264">
        <v>45721</v>
      </c>
      <c r="D291" s="265"/>
      <c r="E291" s="53"/>
      <c r="F291" s="49"/>
      <c r="G291" s="55"/>
      <c r="H291" s="178"/>
      <c r="I291" s="178"/>
      <c r="J291" s="178"/>
      <c r="K291" s="56"/>
      <c r="L291" s="49"/>
      <c r="M291" s="60"/>
      <c r="N291" s="179"/>
      <c r="O291" s="179"/>
      <c r="P291" s="179"/>
      <c r="Q291" s="61"/>
      <c r="R291" s="49"/>
      <c r="S291" s="49"/>
      <c r="T291" s="49"/>
      <c r="U291" s="49"/>
      <c r="V291" s="49"/>
      <c r="W291" s="49"/>
      <c r="X291" s="49"/>
      <c r="Y291" s="49"/>
    </row>
    <row r="292" spans="1:25">
      <c r="A292" s="50"/>
      <c r="B292" s="177"/>
      <c r="C292" s="177"/>
      <c r="D292" s="177"/>
      <c r="E292" s="53"/>
      <c r="F292" s="49"/>
      <c r="G292" s="55"/>
      <c r="H292" s="178"/>
      <c r="I292" s="178"/>
      <c r="J292" s="178"/>
      <c r="K292" s="56"/>
      <c r="L292" s="49"/>
      <c r="M292" s="60"/>
      <c r="N292" s="179"/>
      <c r="O292" s="179"/>
      <c r="P292" s="179"/>
      <c r="Q292" s="61"/>
      <c r="R292" s="49"/>
      <c r="S292" s="49"/>
      <c r="T292" s="49"/>
      <c r="U292" s="49"/>
      <c r="V292" s="49"/>
      <c r="W292" s="49"/>
      <c r="X292" s="49"/>
      <c r="Y292" s="49"/>
    </row>
    <row r="293" spans="1:25">
      <c r="A293" s="50"/>
      <c r="B293" s="492" t="s">
        <v>195</v>
      </c>
      <c r="C293" s="493"/>
      <c r="D293" s="494"/>
      <c r="E293" s="53"/>
      <c r="F293" s="49"/>
      <c r="G293" s="55"/>
      <c r="H293" s="178"/>
      <c r="I293" s="178"/>
      <c r="J293" s="178"/>
      <c r="K293" s="56"/>
      <c r="L293" s="49"/>
      <c r="M293" s="60"/>
      <c r="N293" s="179"/>
      <c r="O293" s="179"/>
      <c r="P293" s="179"/>
      <c r="Q293" s="61"/>
      <c r="R293" s="49"/>
      <c r="S293" s="49"/>
      <c r="T293" s="49"/>
      <c r="U293" s="49"/>
      <c r="V293" s="49"/>
      <c r="W293" s="49"/>
      <c r="X293" s="49"/>
      <c r="Y293" s="49"/>
    </row>
    <row r="294" spans="1:25">
      <c r="A294" s="50"/>
      <c r="B294" s="260" t="s">
        <v>106</v>
      </c>
      <c r="C294" s="180" t="s">
        <v>210</v>
      </c>
      <c r="D294" s="261"/>
      <c r="E294" s="53"/>
      <c r="F294" s="49"/>
      <c r="G294" s="55"/>
      <c r="H294" s="178"/>
      <c r="I294" s="178"/>
      <c r="J294" s="178"/>
      <c r="K294" s="56"/>
      <c r="L294" s="49"/>
      <c r="M294" s="60"/>
      <c r="N294" s="179"/>
      <c r="O294" s="179"/>
      <c r="P294" s="179"/>
      <c r="Q294" s="61"/>
      <c r="R294" s="49"/>
      <c r="S294" s="49"/>
      <c r="T294" s="49"/>
      <c r="U294" s="49"/>
      <c r="V294" s="49"/>
      <c r="W294" s="49"/>
      <c r="X294" s="49"/>
      <c r="Y294" s="49"/>
    </row>
    <row r="295" spans="1:25">
      <c r="A295" s="50"/>
      <c r="B295" s="260" t="s">
        <v>108</v>
      </c>
      <c r="C295" s="180" t="s">
        <v>99</v>
      </c>
      <c r="D295" s="261"/>
      <c r="E295" s="53"/>
      <c r="F295" s="49"/>
      <c r="G295" s="55"/>
      <c r="H295" s="178"/>
      <c r="I295" s="178"/>
      <c r="J295" s="178"/>
      <c r="K295" s="56"/>
      <c r="L295" s="49"/>
      <c r="M295" s="60"/>
      <c r="N295" s="179"/>
      <c r="O295" s="179"/>
      <c r="P295" s="179"/>
      <c r="Q295" s="61"/>
      <c r="R295" s="49"/>
      <c r="S295" s="49"/>
      <c r="T295" s="49"/>
      <c r="U295" s="49"/>
      <c r="V295" s="49"/>
      <c r="W295" s="49"/>
      <c r="X295" s="49"/>
      <c r="Y295" s="49"/>
    </row>
    <row r="296" spans="1:25">
      <c r="A296" s="50"/>
      <c r="B296" s="260" t="s">
        <v>48</v>
      </c>
      <c r="C296" s="180" t="s">
        <v>102</v>
      </c>
      <c r="D296" s="262"/>
      <c r="E296" s="53"/>
      <c r="F296" s="49"/>
      <c r="G296" s="55"/>
      <c r="H296" s="178"/>
      <c r="I296" s="178"/>
      <c r="J296" s="178"/>
      <c r="K296" s="56"/>
      <c r="L296" s="49"/>
      <c r="M296" s="60"/>
      <c r="N296" s="179"/>
      <c r="O296" s="179"/>
      <c r="P296" s="179"/>
      <c r="Q296" s="61"/>
      <c r="R296" s="49"/>
      <c r="S296" s="49"/>
      <c r="T296" s="49"/>
      <c r="U296" s="49"/>
      <c r="V296" s="49"/>
      <c r="W296" s="49"/>
      <c r="X296" s="49"/>
      <c r="Y296" s="49"/>
    </row>
    <row r="297" spans="1:25">
      <c r="A297" s="50"/>
      <c r="B297" s="260" t="s">
        <v>49</v>
      </c>
      <c r="C297" s="181">
        <v>45706</v>
      </c>
      <c r="D297" s="262"/>
      <c r="E297" s="53"/>
      <c r="F297" s="49"/>
      <c r="G297" s="55"/>
      <c r="H297" s="178"/>
      <c r="I297" s="178"/>
      <c r="J297" s="178"/>
      <c r="K297" s="56"/>
      <c r="L297" s="49"/>
      <c r="M297" s="60"/>
      <c r="N297" s="179"/>
      <c r="O297" s="179"/>
      <c r="P297" s="179"/>
      <c r="Q297" s="61"/>
      <c r="R297" s="49"/>
      <c r="S297" s="49"/>
      <c r="T297" s="49"/>
      <c r="U297" s="49"/>
      <c r="V297" s="49"/>
      <c r="W297" s="49"/>
      <c r="X297" s="49"/>
      <c r="Y297" s="49"/>
    </row>
    <row r="298" spans="1:25">
      <c r="A298" s="50"/>
      <c r="B298" s="263" t="s">
        <v>50</v>
      </c>
      <c r="C298" s="264">
        <v>45707</v>
      </c>
      <c r="D298" s="265"/>
      <c r="E298" s="53"/>
      <c r="F298" s="49"/>
      <c r="G298" s="55"/>
      <c r="H298" s="178"/>
      <c r="I298" s="178"/>
      <c r="J298" s="178"/>
      <c r="K298" s="56"/>
      <c r="L298" s="49"/>
      <c r="M298" s="60"/>
      <c r="N298" s="179"/>
      <c r="O298" s="179"/>
      <c r="P298" s="179"/>
      <c r="Q298" s="61"/>
      <c r="R298" s="49"/>
      <c r="S298" s="49"/>
      <c r="T298" s="49"/>
      <c r="U298" s="49"/>
      <c r="V298" s="49"/>
      <c r="W298" s="49"/>
      <c r="X298" s="49"/>
      <c r="Y298" s="49"/>
    </row>
    <row r="299" spans="1:25">
      <c r="A299" s="50"/>
      <c r="B299" s="177"/>
      <c r="C299" s="177"/>
      <c r="D299" s="177"/>
      <c r="E299" s="53"/>
      <c r="F299" s="49"/>
      <c r="G299" s="55"/>
      <c r="H299" s="178"/>
      <c r="I299" s="178"/>
      <c r="J299" s="178"/>
      <c r="K299" s="56"/>
      <c r="L299" s="49"/>
      <c r="M299" s="60"/>
      <c r="N299" s="179"/>
      <c r="O299" s="179"/>
      <c r="P299" s="179"/>
      <c r="Q299" s="61"/>
      <c r="R299" s="49"/>
      <c r="S299" s="49"/>
      <c r="T299" s="49"/>
      <c r="U299" s="49"/>
      <c r="V299" s="49"/>
      <c r="W299" s="49"/>
      <c r="X299" s="49"/>
      <c r="Y299" s="49"/>
    </row>
    <row r="300" spans="1:25">
      <c r="A300" s="50"/>
      <c r="B300" s="492" t="s">
        <v>195</v>
      </c>
      <c r="C300" s="493"/>
      <c r="D300" s="494"/>
      <c r="E300" s="53"/>
      <c r="F300" s="49"/>
      <c r="G300" s="55"/>
      <c r="H300" s="178"/>
      <c r="I300" s="178"/>
      <c r="J300" s="178"/>
      <c r="K300" s="56"/>
      <c r="L300" s="49"/>
      <c r="M300" s="60"/>
      <c r="N300" s="179"/>
      <c r="O300" s="179"/>
      <c r="P300" s="179"/>
      <c r="Q300" s="61"/>
      <c r="R300" s="49"/>
      <c r="S300" s="49"/>
      <c r="T300" s="49"/>
      <c r="U300" s="49"/>
      <c r="V300" s="49"/>
      <c r="W300" s="49"/>
      <c r="X300" s="49"/>
      <c r="Y300" s="49"/>
    </row>
    <row r="301" spans="1:25">
      <c r="A301" s="50"/>
      <c r="B301" s="260" t="s">
        <v>106</v>
      </c>
      <c r="C301" s="180" t="s">
        <v>214</v>
      </c>
      <c r="D301" s="261"/>
      <c r="E301" s="53"/>
      <c r="F301" s="49"/>
      <c r="G301" s="55"/>
      <c r="H301" s="178"/>
      <c r="I301" s="178"/>
      <c r="J301" s="178"/>
      <c r="K301" s="56"/>
      <c r="L301" s="49"/>
      <c r="M301" s="60"/>
      <c r="N301" s="179"/>
      <c r="O301" s="179"/>
      <c r="P301" s="179"/>
      <c r="Q301" s="61"/>
      <c r="R301" s="49"/>
      <c r="S301" s="49"/>
      <c r="T301" s="49"/>
      <c r="U301" s="49"/>
      <c r="V301" s="49"/>
      <c r="W301" s="49"/>
      <c r="X301" s="49"/>
      <c r="Y301" s="49"/>
    </row>
    <row r="302" spans="1:25">
      <c r="A302" s="50"/>
      <c r="B302" s="260" t="s">
        <v>108</v>
      </c>
      <c r="C302" s="180" t="s">
        <v>99</v>
      </c>
      <c r="D302" s="261"/>
      <c r="E302" s="53"/>
      <c r="F302" s="49"/>
      <c r="G302" s="55"/>
      <c r="H302" s="178"/>
      <c r="I302" s="178"/>
      <c r="J302" s="178"/>
      <c r="K302" s="56"/>
      <c r="L302" s="49"/>
      <c r="M302" s="60"/>
      <c r="N302" s="179"/>
      <c r="O302" s="179"/>
      <c r="P302" s="179"/>
      <c r="Q302" s="61"/>
      <c r="R302" s="49"/>
      <c r="S302" s="49"/>
      <c r="T302" s="49"/>
      <c r="U302" s="49"/>
      <c r="V302" s="49"/>
      <c r="W302" s="49"/>
      <c r="X302" s="49"/>
      <c r="Y302" s="49"/>
    </row>
    <row r="303" spans="1:25">
      <c r="A303" s="50"/>
      <c r="B303" s="260" t="s">
        <v>48</v>
      </c>
      <c r="C303" s="180" t="s">
        <v>39</v>
      </c>
      <c r="D303" s="262"/>
      <c r="E303" s="53"/>
      <c r="F303" s="49"/>
      <c r="G303" s="55"/>
      <c r="H303" s="178"/>
      <c r="I303" s="178"/>
      <c r="J303" s="178"/>
      <c r="K303" s="56"/>
      <c r="L303" s="49"/>
      <c r="M303" s="60"/>
      <c r="N303" s="179"/>
      <c r="O303" s="179"/>
      <c r="P303" s="179"/>
      <c r="Q303" s="61"/>
      <c r="R303" s="49"/>
      <c r="S303" s="49"/>
      <c r="T303" s="49"/>
      <c r="U303" s="49"/>
      <c r="V303" s="49"/>
      <c r="W303" s="49"/>
      <c r="X303" s="49"/>
      <c r="Y303" s="49"/>
    </row>
    <row r="304" spans="1:25">
      <c r="A304" s="50"/>
      <c r="B304" s="260" t="s">
        <v>49</v>
      </c>
      <c r="C304" s="181">
        <v>45708</v>
      </c>
      <c r="D304" s="262"/>
      <c r="E304" s="53"/>
      <c r="F304" s="49"/>
      <c r="G304" s="55"/>
      <c r="H304" s="178"/>
      <c r="I304" s="178"/>
      <c r="J304" s="178"/>
      <c r="K304" s="56"/>
      <c r="L304" s="49"/>
      <c r="M304" s="60"/>
      <c r="N304" s="179"/>
      <c r="O304" s="179"/>
      <c r="P304" s="179"/>
      <c r="Q304" s="61"/>
      <c r="R304" s="49"/>
      <c r="S304" s="49"/>
      <c r="T304" s="49"/>
      <c r="U304" s="49"/>
      <c r="V304" s="49"/>
      <c r="W304" s="49"/>
      <c r="X304" s="49"/>
      <c r="Y304" s="49"/>
    </row>
    <row r="305" spans="1:25">
      <c r="A305" s="50"/>
      <c r="B305" s="263" t="s">
        <v>50</v>
      </c>
      <c r="C305" s="264">
        <v>45713</v>
      </c>
      <c r="D305" s="265"/>
      <c r="E305" s="53"/>
      <c r="F305" s="49"/>
      <c r="G305" s="55"/>
      <c r="H305" s="178"/>
      <c r="I305" s="178"/>
      <c r="J305" s="178"/>
      <c r="K305" s="56"/>
      <c r="L305" s="49"/>
      <c r="M305" s="60"/>
      <c r="N305" s="179"/>
      <c r="O305" s="179"/>
      <c r="P305" s="179"/>
      <c r="Q305" s="61"/>
      <c r="R305" s="49"/>
      <c r="S305" s="49"/>
      <c r="T305" s="49"/>
      <c r="U305" s="49"/>
      <c r="V305" s="49"/>
      <c r="W305" s="49"/>
      <c r="X305" s="49"/>
      <c r="Y305" s="49"/>
    </row>
    <row r="306" spans="1:25">
      <c r="A306" s="50"/>
      <c r="B306" s="177"/>
      <c r="C306" s="177"/>
      <c r="D306" s="177"/>
      <c r="E306" s="53"/>
      <c r="F306" s="49"/>
      <c r="G306" s="55"/>
      <c r="H306" s="178"/>
      <c r="I306" s="178"/>
      <c r="J306" s="178"/>
      <c r="K306" s="56"/>
      <c r="L306" s="49"/>
      <c r="M306" s="60"/>
      <c r="N306" s="179"/>
      <c r="O306" s="179"/>
      <c r="P306" s="179"/>
      <c r="Q306" s="61"/>
      <c r="R306" s="49"/>
      <c r="S306" s="49"/>
      <c r="T306" s="49"/>
      <c r="U306" s="49"/>
      <c r="V306" s="49"/>
      <c r="W306" s="49"/>
      <c r="X306" s="49"/>
      <c r="Y306" s="49"/>
    </row>
    <row r="307" spans="1:25">
      <c r="A307" s="50"/>
      <c r="B307" s="495" t="s">
        <v>197</v>
      </c>
      <c r="C307" s="496"/>
      <c r="D307" s="497"/>
      <c r="E307" s="53"/>
      <c r="F307" s="49"/>
      <c r="G307" s="55"/>
      <c r="H307" s="178"/>
      <c r="I307" s="178"/>
      <c r="J307" s="178"/>
      <c r="K307" s="56"/>
      <c r="L307" s="49"/>
      <c r="M307" s="60"/>
      <c r="N307" s="179"/>
      <c r="O307" s="179"/>
      <c r="P307" s="179"/>
      <c r="Q307" s="61"/>
      <c r="R307" s="49"/>
      <c r="S307" s="49"/>
      <c r="T307" s="49"/>
      <c r="U307" s="49"/>
      <c r="V307" s="49"/>
      <c r="W307" s="49"/>
      <c r="X307" s="49"/>
      <c r="Y307" s="49"/>
    </row>
    <row r="308" spans="1:25">
      <c r="A308" s="50"/>
      <c r="B308" s="90" t="s">
        <v>106</v>
      </c>
      <c r="C308" s="180" t="s">
        <v>27</v>
      </c>
      <c r="D308" s="91"/>
      <c r="E308" s="53"/>
      <c r="F308" s="49"/>
      <c r="G308" s="55"/>
      <c r="H308" s="178"/>
      <c r="I308" s="178"/>
      <c r="J308" s="178"/>
      <c r="K308" s="56"/>
      <c r="L308" s="49"/>
      <c r="M308" s="60"/>
      <c r="N308" s="179"/>
      <c r="O308" s="179"/>
      <c r="P308" s="179"/>
      <c r="Q308" s="61"/>
      <c r="R308" s="49"/>
      <c r="S308" s="49"/>
      <c r="T308" s="49"/>
      <c r="U308" s="49"/>
      <c r="V308" s="49"/>
      <c r="W308" s="49"/>
      <c r="X308" s="49"/>
      <c r="Y308" s="49"/>
    </row>
    <row r="309" spans="1:25">
      <c r="A309" s="50"/>
      <c r="B309" s="90" t="s">
        <v>108</v>
      </c>
      <c r="C309" s="180" t="s">
        <v>99</v>
      </c>
      <c r="D309" s="91"/>
      <c r="E309" s="53"/>
      <c r="F309" s="49"/>
      <c r="G309" s="55"/>
      <c r="H309" s="178"/>
      <c r="I309" s="178"/>
      <c r="J309" s="178"/>
      <c r="K309" s="56"/>
      <c r="L309" s="49"/>
      <c r="M309" s="60"/>
      <c r="N309" s="179"/>
      <c r="O309" s="179"/>
      <c r="P309" s="179"/>
      <c r="Q309" s="61"/>
      <c r="R309" s="49"/>
      <c r="S309" s="49"/>
      <c r="T309" s="49"/>
      <c r="U309" s="49"/>
      <c r="V309" s="49"/>
      <c r="W309" s="49"/>
      <c r="X309" s="49"/>
      <c r="Y309" s="49"/>
    </row>
    <row r="310" spans="1:25">
      <c r="A310" s="50"/>
      <c r="B310" s="90" t="s">
        <v>48</v>
      </c>
      <c r="C310" s="180" t="s">
        <v>25</v>
      </c>
      <c r="D310" s="92"/>
      <c r="E310" s="53"/>
      <c r="F310" s="49"/>
      <c r="G310" s="55"/>
      <c r="H310" s="178"/>
      <c r="I310" s="178"/>
      <c r="J310" s="178"/>
      <c r="K310" s="56"/>
      <c r="L310" s="49"/>
      <c r="M310" s="60"/>
      <c r="N310" s="179"/>
      <c r="O310" s="179"/>
      <c r="P310" s="179"/>
      <c r="Q310" s="61"/>
      <c r="R310" s="49"/>
      <c r="S310" s="49"/>
      <c r="T310" s="49"/>
      <c r="U310" s="49"/>
      <c r="V310" s="49"/>
      <c r="W310" s="49"/>
      <c r="X310" s="49"/>
      <c r="Y310" s="49"/>
    </row>
    <row r="311" spans="1:25">
      <c r="A311" s="50"/>
      <c r="B311" s="90" t="s">
        <v>49</v>
      </c>
      <c r="C311" s="181">
        <v>45722</v>
      </c>
      <c r="D311" s="92"/>
      <c r="E311" s="53"/>
      <c r="F311" s="49"/>
      <c r="G311" s="55"/>
      <c r="H311" s="178"/>
      <c r="I311" s="178"/>
      <c r="J311" s="178"/>
      <c r="K311" s="56"/>
      <c r="L311" s="49"/>
      <c r="M311" s="60"/>
      <c r="N311" s="179"/>
      <c r="O311" s="179"/>
      <c r="P311" s="179"/>
      <c r="Q311" s="61"/>
      <c r="R311" s="49"/>
      <c r="S311" s="49"/>
      <c r="T311" s="49"/>
      <c r="U311" s="49"/>
      <c r="V311" s="49"/>
      <c r="W311" s="49"/>
      <c r="X311" s="49"/>
      <c r="Y311" s="49"/>
    </row>
    <row r="312" spans="1:25">
      <c r="A312" s="50"/>
      <c r="B312" s="93" t="s">
        <v>50</v>
      </c>
      <c r="C312" s="94">
        <v>45722</v>
      </c>
      <c r="D312" s="95"/>
      <c r="E312" s="53"/>
      <c r="F312" s="49"/>
      <c r="G312" s="55"/>
      <c r="H312" s="178"/>
      <c r="I312" s="178"/>
      <c r="J312" s="178"/>
      <c r="K312" s="56"/>
      <c r="L312" s="49"/>
      <c r="M312" s="60"/>
      <c r="N312" s="179"/>
      <c r="O312" s="179"/>
      <c r="P312" s="179"/>
      <c r="Q312" s="61"/>
      <c r="R312" s="49"/>
      <c r="S312" s="49"/>
      <c r="T312" s="49"/>
      <c r="U312" s="49"/>
      <c r="V312" s="49"/>
      <c r="W312" s="49"/>
      <c r="X312" s="49"/>
      <c r="Y312" s="49"/>
    </row>
    <row r="313" spans="1:25">
      <c r="A313" s="50"/>
      <c r="B313" s="177"/>
      <c r="C313" s="177"/>
      <c r="D313" s="177"/>
      <c r="E313" s="53"/>
      <c r="F313" s="49"/>
      <c r="G313" s="55"/>
      <c r="H313" s="178"/>
      <c r="I313" s="178"/>
      <c r="J313" s="178"/>
      <c r="K313" s="56"/>
      <c r="L313" s="49"/>
      <c r="M313" s="60"/>
      <c r="N313" s="179"/>
      <c r="O313" s="179"/>
      <c r="P313" s="179"/>
      <c r="Q313" s="61"/>
      <c r="R313" s="49"/>
      <c r="S313" s="49"/>
      <c r="T313" s="49"/>
      <c r="U313" s="49"/>
      <c r="V313" s="49"/>
      <c r="W313" s="49"/>
      <c r="X313" s="49"/>
      <c r="Y313" s="49"/>
    </row>
    <row r="314" spans="1:25">
      <c r="A314" s="50"/>
      <c r="B314" s="495" t="s">
        <v>197</v>
      </c>
      <c r="C314" s="496"/>
      <c r="D314" s="497"/>
      <c r="E314" s="53"/>
      <c r="F314" s="49"/>
      <c r="G314" s="55"/>
      <c r="H314" s="178"/>
      <c r="I314" s="178"/>
      <c r="J314" s="178"/>
      <c r="K314" s="56"/>
      <c r="L314" s="49"/>
      <c r="M314" s="60"/>
      <c r="N314" s="179"/>
      <c r="O314" s="179"/>
      <c r="P314" s="179"/>
      <c r="Q314" s="61"/>
      <c r="R314" s="49"/>
      <c r="S314" s="49"/>
      <c r="T314" s="49"/>
      <c r="U314" s="49"/>
      <c r="V314" s="49"/>
      <c r="W314" s="49"/>
      <c r="X314" s="49"/>
      <c r="Y314" s="49"/>
    </row>
    <row r="315" spans="1:25">
      <c r="A315" s="50"/>
      <c r="B315" s="90" t="s">
        <v>106</v>
      </c>
      <c r="C315" s="180" t="s">
        <v>210</v>
      </c>
      <c r="D315" s="91"/>
      <c r="E315" s="53"/>
      <c r="F315" s="49"/>
      <c r="G315" s="55"/>
      <c r="H315" s="178"/>
      <c r="I315" s="178"/>
      <c r="J315" s="178"/>
      <c r="K315" s="56"/>
      <c r="L315" s="49"/>
      <c r="M315" s="60"/>
      <c r="N315" s="179"/>
      <c r="O315" s="179"/>
      <c r="P315" s="179"/>
      <c r="Q315" s="61"/>
      <c r="R315" s="49"/>
      <c r="S315" s="49"/>
      <c r="T315" s="49"/>
      <c r="U315" s="49"/>
      <c r="V315" s="49"/>
      <c r="W315" s="49"/>
      <c r="X315" s="49"/>
      <c r="Y315" s="49"/>
    </row>
    <row r="316" spans="1:25">
      <c r="A316" s="50"/>
      <c r="B316" s="90" t="s">
        <v>108</v>
      </c>
      <c r="C316" s="180" t="s">
        <v>99</v>
      </c>
      <c r="D316" s="91"/>
      <c r="E316" s="53"/>
      <c r="F316" s="49"/>
      <c r="G316" s="55"/>
      <c r="H316" s="178"/>
      <c r="I316" s="178"/>
      <c r="J316" s="178"/>
      <c r="K316" s="56"/>
      <c r="L316" s="49"/>
      <c r="M316" s="60"/>
      <c r="N316" s="179"/>
      <c r="O316" s="179"/>
      <c r="P316" s="179"/>
      <c r="Q316" s="61"/>
      <c r="R316" s="49"/>
      <c r="S316" s="49"/>
      <c r="T316" s="49"/>
      <c r="U316" s="49"/>
      <c r="V316" s="49"/>
      <c r="W316" s="49"/>
      <c r="X316" s="49"/>
      <c r="Y316" s="49"/>
    </row>
    <row r="317" spans="1:25">
      <c r="A317" s="50"/>
      <c r="B317" s="90" t="s">
        <v>48</v>
      </c>
      <c r="C317" s="180" t="s">
        <v>102</v>
      </c>
      <c r="D317" s="92"/>
      <c r="E317" s="53"/>
      <c r="F317" s="49"/>
      <c r="G317" s="55"/>
      <c r="H317" s="178"/>
      <c r="I317" s="178"/>
      <c r="J317" s="178"/>
      <c r="K317" s="56"/>
      <c r="L317" s="49"/>
      <c r="M317" s="60"/>
      <c r="N317" s="179"/>
      <c r="O317" s="179"/>
      <c r="P317" s="179"/>
      <c r="Q317" s="61"/>
      <c r="R317" s="49"/>
      <c r="S317" s="49"/>
      <c r="T317" s="49"/>
      <c r="U317" s="49"/>
      <c r="V317" s="49"/>
      <c r="W317" s="49"/>
      <c r="X317" s="49"/>
      <c r="Y317" s="49"/>
    </row>
    <row r="318" spans="1:25">
      <c r="A318" s="50"/>
      <c r="B318" s="90" t="s">
        <v>49</v>
      </c>
      <c r="C318" s="181">
        <v>45708</v>
      </c>
      <c r="D318" s="92"/>
      <c r="E318" s="53"/>
      <c r="F318" s="49"/>
      <c r="G318" s="55"/>
      <c r="H318" s="178"/>
      <c r="I318" s="178"/>
      <c r="J318" s="178"/>
      <c r="K318" s="56"/>
      <c r="L318" s="49"/>
      <c r="M318" s="60"/>
      <c r="N318" s="179"/>
      <c r="O318" s="179"/>
      <c r="P318" s="179"/>
      <c r="Q318" s="61"/>
      <c r="R318" s="49"/>
      <c r="S318" s="49"/>
      <c r="T318" s="49"/>
      <c r="U318" s="49"/>
      <c r="V318" s="49"/>
      <c r="W318" s="49"/>
      <c r="X318" s="49"/>
      <c r="Y318" s="49"/>
    </row>
    <row r="319" spans="1:25">
      <c r="A319" s="50"/>
      <c r="B319" s="93" t="s">
        <v>50</v>
      </c>
      <c r="C319" s="94">
        <v>45709</v>
      </c>
      <c r="D319" s="95"/>
      <c r="E319" s="53"/>
      <c r="F319" s="49"/>
      <c r="G319" s="55"/>
      <c r="H319" s="178"/>
      <c r="I319" s="178"/>
      <c r="J319" s="178"/>
      <c r="K319" s="56"/>
      <c r="L319" s="49"/>
      <c r="M319" s="60"/>
      <c r="N319" s="179"/>
      <c r="O319" s="179"/>
      <c r="P319" s="179"/>
      <c r="Q319" s="61"/>
      <c r="R319" s="49"/>
      <c r="S319" s="49"/>
      <c r="T319" s="49"/>
      <c r="U319" s="49"/>
      <c r="V319" s="49"/>
      <c r="W319" s="49"/>
      <c r="X319" s="49"/>
      <c r="Y319" s="49"/>
    </row>
    <row r="320" spans="1:25">
      <c r="A320" s="50"/>
      <c r="B320" s="177"/>
      <c r="C320" s="177"/>
      <c r="D320" s="177"/>
      <c r="E320" s="53"/>
      <c r="F320" s="49"/>
      <c r="G320" s="55"/>
      <c r="H320" s="178"/>
      <c r="I320" s="178"/>
      <c r="J320" s="178"/>
      <c r="K320" s="56"/>
      <c r="L320" s="49"/>
      <c r="M320" s="60"/>
      <c r="N320" s="179"/>
      <c r="O320" s="179"/>
      <c r="P320" s="179"/>
      <c r="Q320" s="61"/>
      <c r="R320" s="49"/>
      <c r="S320" s="49"/>
      <c r="T320" s="49"/>
      <c r="U320" s="49"/>
      <c r="V320" s="49"/>
      <c r="W320" s="49"/>
      <c r="X320" s="49"/>
      <c r="Y320" s="49"/>
    </row>
    <row r="321" spans="1:25">
      <c r="A321" s="50"/>
      <c r="B321" s="495" t="s">
        <v>197</v>
      </c>
      <c r="C321" s="496"/>
      <c r="D321" s="497"/>
      <c r="E321" s="53"/>
      <c r="F321" s="49"/>
      <c r="G321" s="55"/>
      <c r="H321" s="178"/>
      <c r="I321" s="178"/>
      <c r="J321" s="178"/>
      <c r="K321" s="56"/>
      <c r="L321" s="49"/>
      <c r="M321" s="60"/>
      <c r="N321" s="179"/>
      <c r="O321" s="179"/>
      <c r="P321" s="179"/>
      <c r="Q321" s="61"/>
      <c r="R321" s="49"/>
      <c r="S321" s="49"/>
      <c r="T321" s="49"/>
      <c r="U321" s="49"/>
      <c r="V321" s="49"/>
      <c r="W321" s="49"/>
      <c r="X321" s="49"/>
      <c r="Y321" s="49"/>
    </row>
    <row r="322" spans="1:25">
      <c r="A322" s="50"/>
      <c r="B322" s="90" t="s">
        <v>106</v>
      </c>
      <c r="C322" s="180" t="s">
        <v>214</v>
      </c>
      <c r="D322" s="91"/>
      <c r="E322" s="53"/>
      <c r="F322" s="49"/>
      <c r="G322" s="55"/>
      <c r="H322" s="178"/>
      <c r="I322" s="178"/>
      <c r="J322" s="178"/>
      <c r="K322" s="56"/>
      <c r="L322" s="49"/>
      <c r="M322" s="60"/>
      <c r="N322" s="179"/>
      <c r="O322" s="179"/>
      <c r="P322" s="179"/>
      <c r="Q322" s="61"/>
      <c r="R322" s="49"/>
      <c r="S322" s="49"/>
      <c r="T322" s="49"/>
      <c r="U322" s="49"/>
      <c r="V322" s="49"/>
      <c r="W322" s="49"/>
      <c r="X322" s="49"/>
      <c r="Y322" s="49"/>
    </row>
    <row r="323" spans="1:25">
      <c r="A323" s="50"/>
      <c r="B323" s="90" t="s">
        <v>108</v>
      </c>
      <c r="C323" s="180" t="s">
        <v>99</v>
      </c>
      <c r="D323" s="91"/>
      <c r="E323" s="53"/>
      <c r="F323" s="49"/>
      <c r="G323" s="55"/>
      <c r="H323" s="178"/>
      <c r="I323" s="178"/>
      <c r="J323" s="178"/>
      <c r="K323" s="56"/>
      <c r="L323" s="49"/>
      <c r="M323" s="60"/>
      <c r="N323" s="179"/>
      <c r="O323" s="179"/>
      <c r="P323" s="179"/>
      <c r="Q323" s="61"/>
      <c r="R323" s="49"/>
      <c r="S323" s="49"/>
      <c r="T323" s="49"/>
      <c r="U323" s="49"/>
      <c r="V323" s="49"/>
      <c r="W323" s="49"/>
      <c r="X323" s="49"/>
      <c r="Y323" s="49"/>
    </row>
    <row r="324" spans="1:25">
      <c r="A324" s="50"/>
      <c r="B324" s="90" t="s">
        <v>48</v>
      </c>
      <c r="C324" s="180" t="s">
        <v>39</v>
      </c>
      <c r="D324" s="92"/>
      <c r="E324" s="53"/>
      <c r="F324" s="49"/>
      <c r="G324" s="55"/>
      <c r="H324" s="178"/>
      <c r="I324" s="178"/>
      <c r="J324" s="178"/>
      <c r="K324" s="56"/>
      <c r="L324" s="49"/>
      <c r="M324" s="60"/>
      <c r="N324" s="179"/>
      <c r="O324" s="179"/>
      <c r="P324" s="179"/>
      <c r="Q324" s="61"/>
      <c r="R324" s="49"/>
      <c r="S324" s="49"/>
      <c r="T324" s="49"/>
      <c r="U324" s="49"/>
      <c r="V324" s="49"/>
      <c r="W324" s="49"/>
      <c r="X324" s="49"/>
      <c r="Y324" s="49"/>
    </row>
    <row r="325" spans="1:25">
      <c r="A325" s="50"/>
      <c r="B325" s="90" t="s">
        <v>49</v>
      </c>
      <c r="C325" s="181">
        <v>45712</v>
      </c>
      <c r="D325" s="92"/>
      <c r="E325" s="53"/>
      <c r="F325" s="49"/>
      <c r="G325" s="55"/>
      <c r="H325" s="178"/>
      <c r="I325" s="178"/>
      <c r="J325" s="178"/>
      <c r="K325" s="56"/>
      <c r="L325" s="49"/>
      <c r="M325" s="60"/>
      <c r="N325" s="179"/>
      <c r="O325" s="179"/>
      <c r="P325" s="179"/>
      <c r="Q325" s="61"/>
      <c r="R325" s="49"/>
      <c r="S325" s="49"/>
      <c r="T325" s="49"/>
      <c r="U325" s="49"/>
      <c r="V325" s="49"/>
      <c r="W325" s="49"/>
      <c r="X325" s="49"/>
      <c r="Y325" s="49"/>
    </row>
    <row r="326" spans="1:25">
      <c r="A326" s="50"/>
      <c r="B326" s="93" t="s">
        <v>50</v>
      </c>
      <c r="C326" s="94">
        <v>45715</v>
      </c>
      <c r="D326" s="95"/>
      <c r="E326" s="53"/>
      <c r="F326" s="49"/>
      <c r="G326" s="55"/>
      <c r="H326" s="178"/>
      <c r="I326" s="178"/>
      <c r="J326" s="178"/>
      <c r="K326" s="56"/>
      <c r="L326" s="49"/>
      <c r="M326" s="60"/>
      <c r="N326" s="179"/>
      <c r="O326" s="179"/>
      <c r="P326" s="179"/>
      <c r="Q326" s="61"/>
      <c r="R326" s="49"/>
      <c r="S326" s="49"/>
      <c r="T326" s="49"/>
      <c r="U326" s="49"/>
      <c r="V326" s="49"/>
      <c r="W326" s="49"/>
      <c r="X326" s="49"/>
      <c r="Y326" s="49"/>
    </row>
    <row r="327" spans="1:25">
      <c r="A327" s="50"/>
      <c r="B327" s="177"/>
      <c r="C327" s="177"/>
      <c r="D327" s="177"/>
      <c r="E327" s="53"/>
      <c r="F327" s="49"/>
      <c r="G327" s="55"/>
      <c r="H327" s="178"/>
      <c r="I327" s="178"/>
      <c r="J327" s="178"/>
      <c r="K327" s="56"/>
      <c r="L327" s="49"/>
      <c r="M327" s="60"/>
      <c r="N327" s="179"/>
      <c r="O327" s="179"/>
      <c r="P327" s="179"/>
      <c r="Q327" s="61"/>
      <c r="R327" s="49"/>
      <c r="S327" s="49"/>
      <c r="T327" s="49"/>
      <c r="U327" s="49"/>
      <c r="V327" s="49"/>
      <c r="W327" s="49"/>
      <c r="X327" s="49"/>
      <c r="Y327" s="49"/>
    </row>
    <row r="328" spans="1:25">
      <c r="A328" s="50"/>
      <c r="B328" s="600" t="s">
        <v>199</v>
      </c>
      <c r="C328" s="601"/>
      <c r="D328" s="602"/>
      <c r="E328" s="53"/>
      <c r="F328" s="49"/>
      <c r="G328" s="55"/>
      <c r="H328" s="178"/>
      <c r="I328" s="178"/>
      <c r="J328" s="178"/>
      <c r="K328" s="56"/>
      <c r="L328" s="49"/>
      <c r="M328" s="60"/>
      <c r="N328" s="179"/>
      <c r="O328" s="179"/>
      <c r="P328" s="179"/>
      <c r="Q328" s="61"/>
      <c r="R328" s="49"/>
      <c r="S328" s="49"/>
      <c r="T328" s="49"/>
      <c r="U328" s="49"/>
      <c r="V328" s="49"/>
      <c r="W328" s="49"/>
      <c r="X328" s="49"/>
      <c r="Y328" s="49"/>
    </row>
    <row r="329" spans="1:25">
      <c r="A329" s="50"/>
      <c r="B329" s="266" t="s">
        <v>106</v>
      </c>
      <c r="C329" s="180" t="s">
        <v>27</v>
      </c>
      <c r="D329" s="267"/>
      <c r="E329" s="53"/>
      <c r="F329" s="49"/>
      <c r="G329" s="55"/>
      <c r="H329" s="178"/>
      <c r="I329" s="178"/>
      <c r="J329" s="178"/>
      <c r="K329" s="56"/>
      <c r="L329" s="49"/>
      <c r="M329" s="60"/>
      <c r="N329" s="179"/>
      <c r="O329" s="179"/>
      <c r="P329" s="179"/>
      <c r="Q329" s="61"/>
      <c r="R329" s="49"/>
      <c r="S329" s="49"/>
      <c r="T329" s="49"/>
      <c r="U329" s="49"/>
      <c r="V329" s="49"/>
      <c r="W329" s="49"/>
      <c r="X329" s="49"/>
      <c r="Y329" s="49"/>
    </row>
    <row r="330" spans="1:25">
      <c r="A330" s="50"/>
      <c r="B330" s="266" t="s">
        <v>108</v>
      </c>
      <c r="C330" s="180" t="s">
        <v>99</v>
      </c>
      <c r="D330" s="267"/>
      <c r="E330" s="53"/>
      <c r="F330" s="49"/>
      <c r="G330" s="55"/>
      <c r="H330" s="178"/>
      <c r="I330" s="178"/>
      <c r="J330" s="178"/>
      <c r="K330" s="56"/>
      <c r="L330" s="49"/>
      <c r="M330" s="60"/>
      <c r="N330" s="179"/>
      <c r="O330" s="179"/>
      <c r="P330" s="179"/>
      <c r="Q330" s="61"/>
      <c r="R330" s="49"/>
      <c r="S330" s="49"/>
      <c r="T330" s="49"/>
      <c r="U330" s="49"/>
      <c r="V330" s="49"/>
      <c r="W330" s="49"/>
      <c r="X330" s="49"/>
      <c r="Y330" s="49"/>
    </row>
    <row r="331" spans="1:25">
      <c r="A331" s="50"/>
      <c r="B331" s="266" t="s">
        <v>48</v>
      </c>
      <c r="C331" s="180" t="s">
        <v>25</v>
      </c>
      <c r="D331" s="268"/>
      <c r="E331" s="53"/>
      <c r="F331" s="49"/>
      <c r="G331" s="55"/>
      <c r="H331" s="178"/>
      <c r="I331" s="178"/>
      <c r="J331" s="178"/>
      <c r="K331" s="56"/>
      <c r="L331" s="49"/>
      <c r="M331" s="60"/>
      <c r="N331" s="179"/>
      <c r="O331" s="179"/>
      <c r="P331" s="179"/>
      <c r="Q331" s="61"/>
      <c r="R331" s="49"/>
      <c r="S331" s="49"/>
      <c r="T331" s="49"/>
      <c r="U331" s="49"/>
      <c r="V331" s="49"/>
      <c r="W331" s="49"/>
      <c r="X331" s="49"/>
      <c r="Y331" s="49"/>
    </row>
    <row r="332" spans="1:25">
      <c r="A332" s="50"/>
      <c r="B332" s="266" t="s">
        <v>49</v>
      </c>
      <c r="C332" s="181">
        <v>45723</v>
      </c>
      <c r="D332" s="268"/>
      <c r="E332" s="53"/>
      <c r="F332" s="49"/>
      <c r="G332" s="55"/>
      <c r="H332" s="178"/>
      <c r="I332" s="178"/>
      <c r="J332" s="178"/>
      <c r="K332" s="56"/>
      <c r="L332" s="49"/>
      <c r="M332" s="60"/>
      <c r="N332" s="179"/>
      <c r="O332" s="179"/>
      <c r="P332" s="179"/>
      <c r="Q332" s="61"/>
      <c r="R332" s="49"/>
      <c r="S332" s="49"/>
      <c r="T332" s="49"/>
      <c r="U332" s="49"/>
      <c r="V332" s="49"/>
      <c r="W332" s="49"/>
      <c r="X332" s="49"/>
      <c r="Y332" s="49"/>
    </row>
    <row r="333" spans="1:25">
      <c r="A333" s="50"/>
      <c r="B333" s="269" t="s">
        <v>50</v>
      </c>
      <c r="C333" s="270">
        <v>45723</v>
      </c>
      <c r="D333" s="271"/>
      <c r="E333" s="53"/>
      <c r="F333" s="49"/>
      <c r="G333" s="55"/>
      <c r="H333" s="178"/>
      <c r="I333" s="178"/>
      <c r="J333" s="178"/>
      <c r="K333" s="56"/>
      <c r="L333" s="49"/>
      <c r="M333" s="60"/>
      <c r="N333" s="179"/>
      <c r="O333" s="179"/>
      <c r="P333" s="179"/>
      <c r="Q333" s="61"/>
      <c r="R333" s="49"/>
      <c r="S333" s="49"/>
      <c r="T333" s="49"/>
      <c r="U333" s="49"/>
      <c r="V333" s="49"/>
      <c r="W333" s="49"/>
      <c r="X333" s="49"/>
      <c r="Y333" s="49"/>
    </row>
    <row r="334" spans="1:25">
      <c r="A334" s="50"/>
      <c r="B334" s="177"/>
      <c r="C334" s="177"/>
      <c r="D334" s="177"/>
      <c r="E334" s="53"/>
      <c r="F334" s="49"/>
      <c r="G334" s="55"/>
      <c r="H334" s="178"/>
      <c r="I334" s="178"/>
      <c r="J334" s="178"/>
      <c r="K334" s="56"/>
      <c r="L334" s="49"/>
      <c r="M334" s="60"/>
      <c r="N334" s="179"/>
      <c r="O334" s="179"/>
      <c r="P334" s="179"/>
      <c r="Q334" s="61"/>
      <c r="R334" s="49"/>
      <c r="S334" s="49"/>
      <c r="T334" s="49"/>
      <c r="U334" s="49"/>
      <c r="V334" s="49"/>
      <c r="W334" s="49"/>
      <c r="X334" s="49"/>
      <c r="Y334" s="49"/>
    </row>
    <row r="335" spans="1:25">
      <c r="A335" s="50"/>
      <c r="B335" s="600" t="s">
        <v>199</v>
      </c>
      <c r="C335" s="601"/>
      <c r="D335" s="602"/>
      <c r="E335" s="53"/>
      <c r="F335" s="49"/>
      <c r="G335" s="55"/>
      <c r="H335" s="178"/>
      <c r="I335" s="178"/>
      <c r="J335" s="178"/>
      <c r="K335" s="56"/>
      <c r="L335" s="49"/>
      <c r="M335" s="60"/>
      <c r="N335" s="179"/>
      <c r="O335" s="179"/>
      <c r="P335" s="179"/>
      <c r="Q335" s="61"/>
      <c r="R335" s="49"/>
      <c r="S335" s="49"/>
      <c r="T335" s="49"/>
      <c r="U335" s="49"/>
      <c r="V335" s="49"/>
      <c r="W335" s="49"/>
      <c r="X335" s="49"/>
      <c r="Y335" s="49"/>
    </row>
    <row r="336" spans="1:25">
      <c r="A336" s="50"/>
      <c r="B336" s="266" t="s">
        <v>106</v>
      </c>
      <c r="C336" s="180" t="s">
        <v>210</v>
      </c>
      <c r="D336" s="267"/>
      <c r="E336" s="53"/>
      <c r="F336" s="49"/>
      <c r="G336" s="55"/>
      <c r="H336" s="178"/>
      <c r="I336" s="178"/>
      <c r="J336" s="178"/>
      <c r="K336" s="56"/>
      <c r="L336" s="49"/>
      <c r="M336" s="60"/>
      <c r="N336" s="179"/>
      <c r="O336" s="179"/>
      <c r="P336" s="179"/>
      <c r="Q336" s="61"/>
      <c r="R336" s="49"/>
      <c r="S336" s="49"/>
      <c r="T336" s="49"/>
      <c r="U336" s="49"/>
      <c r="V336" s="49"/>
      <c r="W336" s="49"/>
      <c r="X336" s="49"/>
      <c r="Y336" s="49"/>
    </row>
    <row r="337" spans="1:25">
      <c r="A337" s="50"/>
      <c r="B337" s="266" t="s">
        <v>108</v>
      </c>
      <c r="C337" s="180" t="s">
        <v>99</v>
      </c>
      <c r="D337" s="267"/>
      <c r="E337" s="53"/>
      <c r="F337" s="49"/>
      <c r="G337" s="55"/>
      <c r="H337" s="178"/>
      <c r="I337" s="178"/>
      <c r="J337" s="178"/>
      <c r="K337" s="56"/>
      <c r="L337" s="49"/>
      <c r="M337" s="60"/>
      <c r="N337" s="179"/>
      <c r="O337" s="179"/>
      <c r="P337" s="179"/>
      <c r="Q337" s="61"/>
      <c r="R337" s="49"/>
      <c r="S337" s="49"/>
      <c r="T337" s="49"/>
      <c r="U337" s="49"/>
      <c r="V337" s="49"/>
      <c r="W337" s="49"/>
      <c r="X337" s="49"/>
      <c r="Y337" s="49"/>
    </row>
    <row r="338" spans="1:25">
      <c r="A338" s="50"/>
      <c r="B338" s="266" t="s">
        <v>48</v>
      </c>
      <c r="C338" s="180" t="s">
        <v>102</v>
      </c>
      <c r="D338" s="268"/>
      <c r="E338" s="53"/>
      <c r="F338" s="49"/>
      <c r="G338" s="55"/>
      <c r="H338" s="178"/>
      <c r="I338" s="178"/>
      <c r="J338" s="178"/>
      <c r="K338" s="56"/>
      <c r="L338" s="49"/>
      <c r="M338" s="60"/>
      <c r="N338" s="179"/>
      <c r="O338" s="179"/>
      <c r="P338" s="179"/>
      <c r="Q338" s="61"/>
      <c r="R338" s="49"/>
      <c r="S338" s="49"/>
      <c r="T338" s="49"/>
      <c r="U338" s="49"/>
      <c r="V338" s="49"/>
      <c r="W338" s="49"/>
      <c r="X338" s="49"/>
      <c r="Y338" s="49"/>
    </row>
    <row r="339" spans="1:25">
      <c r="A339" s="50"/>
      <c r="B339" s="266" t="s">
        <v>49</v>
      </c>
      <c r="C339" s="181">
        <v>45708</v>
      </c>
      <c r="D339" s="268"/>
      <c r="E339" s="53"/>
      <c r="F339" s="49"/>
      <c r="G339" s="55"/>
      <c r="H339" s="178"/>
      <c r="I339" s="178"/>
      <c r="J339" s="178"/>
      <c r="K339" s="56"/>
      <c r="L339" s="49"/>
      <c r="M339" s="60"/>
      <c r="N339" s="179"/>
      <c r="O339" s="179"/>
      <c r="P339" s="179"/>
      <c r="Q339" s="61"/>
      <c r="R339" s="49"/>
      <c r="S339" s="49"/>
      <c r="T339" s="49"/>
      <c r="U339" s="49"/>
      <c r="V339" s="49"/>
      <c r="W339" s="49"/>
      <c r="X339" s="49"/>
      <c r="Y339" s="49"/>
    </row>
    <row r="340" spans="1:25">
      <c r="A340" s="50"/>
      <c r="B340" s="269" t="s">
        <v>50</v>
      </c>
      <c r="C340" s="270">
        <v>45709</v>
      </c>
      <c r="D340" s="271"/>
      <c r="E340" s="53"/>
      <c r="F340" s="49"/>
      <c r="G340" s="55"/>
      <c r="H340" s="178"/>
      <c r="I340" s="178"/>
      <c r="J340" s="178"/>
      <c r="K340" s="56"/>
      <c r="L340" s="49"/>
      <c r="M340" s="60"/>
      <c r="N340" s="179"/>
      <c r="O340" s="179"/>
      <c r="P340" s="179"/>
      <c r="Q340" s="61"/>
      <c r="R340" s="49"/>
      <c r="S340" s="49"/>
      <c r="T340" s="49"/>
      <c r="U340" s="49"/>
      <c r="V340" s="49"/>
      <c r="W340" s="49"/>
      <c r="X340" s="49"/>
      <c r="Y340" s="49"/>
    </row>
    <row r="341" spans="1:25">
      <c r="A341" s="50"/>
      <c r="B341" s="177"/>
      <c r="C341" s="177"/>
      <c r="D341" s="177"/>
      <c r="E341" s="53"/>
      <c r="F341" s="49"/>
      <c r="G341" s="55"/>
      <c r="H341" s="178"/>
      <c r="I341" s="178"/>
      <c r="J341" s="178"/>
      <c r="K341" s="56"/>
      <c r="L341" s="49"/>
      <c r="M341" s="60"/>
      <c r="N341" s="179"/>
      <c r="O341" s="179"/>
      <c r="P341" s="179"/>
      <c r="Q341" s="61"/>
      <c r="R341" s="49"/>
      <c r="S341" s="49"/>
      <c r="T341" s="49"/>
      <c r="U341" s="49"/>
      <c r="V341" s="49"/>
      <c r="W341" s="49"/>
      <c r="X341" s="49"/>
      <c r="Y341" s="49"/>
    </row>
    <row r="342" spans="1:25">
      <c r="A342" s="50"/>
      <c r="B342" s="600" t="s">
        <v>199</v>
      </c>
      <c r="C342" s="601"/>
      <c r="D342" s="602"/>
      <c r="E342" s="53"/>
      <c r="F342" s="49"/>
      <c r="G342" s="55"/>
      <c r="H342" s="178"/>
      <c r="I342" s="178"/>
      <c r="J342" s="178"/>
      <c r="K342" s="56"/>
      <c r="L342" s="49"/>
      <c r="M342" s="60"/>
      <c r="N342" s="179"/>
      <c r="O342" s="179"/>
      <c r="P342" s="179"/>
      <c r="Q342" s="61"/>
      <c r="R342" s="49"/>
      <c r="S342" s="49"/>
      <c r="T342" s="49"/>
      <c r="U342" s="49"/>
      <c r="V342" s="49"/>
      <c r="W342" s="49"/>
      <c r="X342" s="49"/>
      <c r="Y342" s="49"/>
    </row>
    <row r="343" spans="1:25">
      <c r="A343" s="50"/>
      <c r="B343" s="266" t="s">
        <v>106</v>
      </c>
      <c r="C343" s="180" t="s">
        <v>214</v>
      </c>
      <c r="D343" s="267"/>
      <c r="E343" s="53"/>
      <c r="F343" s="49"/>
      <c r="G343" s="55"/>
      <c r="H343" s="178"/>
      <c r="I343" s="178"/>
      <c r="J343" s="178"/>
      <c r="K343" s="56"/>
      <c r="L343" s="49"/>
      <c r="M343" s="60"/>
      <c r="N343" s="179"/>
      <c r="O343" s="179"/>
      <c r="P343" s="179"/>
      <c r="Q343" s="61"/>
      <c r="R343" s="49"/>
      <c r="S343" s="49"/>
      <c r="T343" s="49"/>
      <c r="U343" s="49"/>
      <c r="V343" s="49"/>
      <c r="W343" s="49"/>
      <c r="X343" s="49"/>
      <c r="Y343" s="49"/>
    </row>
    <row r="344" spans="1:25">
      <c r="A344" s="50"/>
      <c r="B344" s="266" t="s">
        <v>108</v>
      </c>
      <c r="C344" s="180" t="s">
        <v>99</v>
      </c>
      <c r="D344" s="267"/>
      <c r="E344" s="53"/>
      <c r="F344" s="49"/>
      <c r="G344" s="55"/>
      <c r="H344" s="178"/>
      <c r="I344" s="178"/>
      <c r="J344" s="178"/>
      <c r="K344" s="56"/>
      <c r="L344" s="49"/>
      <c r="M344" s="60"/>
      <c r="N344" s="179"/>
      <c r="O344" s="179"/>
      <c r="P344" s="179"/>
      <c r="Q344" s="61"/>
      <c r="R344" s="49"/>
      <c r="S344" s="49"/>
      <c r="T344" s="49"/>
      <c r="U344" s="49"/>
      <c r="V344" s="49"/>
      <c r="W344" s="49"/>
      <c r="X344" s="49"/>
      <c r="Y344" s="49"/>
    </row>
    <row r="345" spans="1:25">
      <c r="A345" s="50"/>
      <c r="B345" s="266" t="s">
        <v>48</v>
      </c>
      <c r="C345" s="180" t="s">
        <v>39</v>
      </c>
      <c r="D345" s="268"/>
      <c r="E345" s="53"/>
      <c r="F345" s="49"/>
      <c r="G345" s="55"/>
      <c r="H345" s="178"/>
      <c r="I345" s="178"/>
      <c r="J345" s="178"/>
      <c r="K345" s="56"/>
      <c r="L345" s="49"/>
      <c r="M345" s="60"/>
      <c r="N345" s="179"/>
      <c r="O345" s="179"/>
      <c r="P345" s="179"/>
      <c r="Q345" s="61"/>
      <c r="R345" s="49"/>
      <c r="S345" s="49"/>
      <c r="T345" s="49"/>
      <c r="U345" s="49"/>
      <c r="V345" s="49"/>
      <c r="W345" s="49"/>
      <c r="X345" s="49"/>
      <c r="Y345" s="49"/>
    </row>
    <row r="346" spans="1:25">
      <c r="A346" s="50"/>
      <c r="B346" s="266" t="s">
        <v>49</v>
      </c>
      <c r="C346" s="181">
        <v>45712</v>
      </c>
      <c r="D346" s="268"/>
      <c r="E346" s="53"/>
      <c r="F346" s="49"/>
      <c r="G346" s="55"/>
      <c r="H346" s="178"/>
      <c r="I346" s="178"/>
      <c r="J346" s="178"/>
      <c r="K346" s="56"/>
      <c r="L346" s="49"/>
      <c r="M346" s="60"/>
      <c r="N346" s="179"/>
      <c r="O346" s="179"/>
      <c r="P346" s="179"/>
      <c r="Q346" s="61"/>
      <c r="R346" s="49"/>
      <c r="S346" s="49"/>
      <c r="T346" s="49"/>
      <c r="U346" s="49"/>
      <c r="V346" s="49"/>
      <c r="W346" s="49"/>
      <c r="X346" s="49"/>
      <c r="Y346" s="49"/>
    </row>
    <row r="347" spans="1:25">
      <c r="A347" s="50"/>
      <c r="B347" s="269" t="s">
        <v>50</v>
      </c>
      <c r="C347" s="270">
        <v>45715</v>
      </c>
      <c r="D347" s="271"/>
      <c r="E347" s="53"/>
      <c r="F347" s="49"/>
      <c r="G347" s="55"/>
      <c r="H347" s="178"/>
      <c r="I347" s="178"/>
      <c r="J347" s="178"/>
      <c r="K347" s="56"/>
      <c r="L347" s="49"/>
      <c r="M347" s="60"/>
      <c r="N347" s="179"/>
      <c r="O347" s="179"/>
      <c r="P347" s="179"/>
      <c r="Q347" s="61"/>
      <c r="R347" s="49"/>
      <c r="S347" s="49"/>
      <c r="T347" s="49"/>
      <c r="U347" s="49"/>
      <c r="V347" s="49"/>
      <c r="W347" s="49"/>
      <c r="X347" s="49"/>
      <c r="Y347" s="49"/>
    </row>
    <row r="348" spans="1:25">
      <c r="A348" s="50"/>
      <c r="B348" s="177"/>
      <c r="C348" s="177"/>
      <c r="D348" s="177"/>
      <c r="E348" s="53"/>
      <c r="F348" s="49"/>
      <c r="G348" s="55"/>
      <c r="H348" s="178"/>
      <c r="I348" s="178"/>
      <c r="J348" s="178"/>
      <c r="K348" s="56"/>
      <c r="L348" s="49"/>
      <c r="M348" s="60"/>
      <c r="N348" s="179"/>
      <c r="O348" s="179"/>
      <c r="P348" s="179"/>
      <c r="Q348" s="61"/>
      <c r="R348" s="49"/>
      <c r="S348" s="49"/>
      <c r="T348" s="49"/>
      <c r="U348" s="49"/>
      <c r="V348" s="49"/>
      <c r="W348" s="49"/>
      <c r="X348" s="49"/>
      <c r="Y348" s="49"/>
    </row>
    <row r="349" spans="1:25">
      <c r="A349" s="50"/>
      <c r="B349" s="516" t="s">
        <v>201</v>
      </c>
      <c r="C349" s="517"/>
      <c r="D349" s="518"/>
      <c r="E349" s="53"/>
      <c r="F349" s="49"/>
      <c r="G349" s="55"/>
      <c r="H349" s="178"/>
      <c r="I349" s="178"/>
      <c r="J349" s="178"/>
      <c r="K349" s="56"/>
      <c r="L349" s="49"/>
      <c r="M349" s="60"/>
      <c r="N349" s="179"/>
      <c r="O349" s="179"/>
      <c r="P349" s="179"/>
      <c r="Q349" s="61"/>
      <c r="R349" s="49"/>
      <c r="S349" s="49"/>
      <c r="T349" s="49"/>
      <c r="U349" s="49"/>
      <c r="V349" s="49"/>
      <c r="W349" s="49"/>
      <c r="X349" s="49"/>
      <c r="Y349" s="49"/>
    </row>
    <row r="350" spans="1:25">
      <c r="A350" s="50"/>
      <c r="B350" s="272" t="s">
        <v>106</v>
      </c>
      <c r="C350" s="180" t="s">
        <v>27</v>
      </c>
      <c r="D350" s="273"/>
      <c r="E350" s="53"/>
      <c r="F350" s="49"/>
      <c r="G350" s="55"/>
      <c r="H350" s="178"/>
      <c r="I350" s="178"/>
      <c r="J350" s="178"/>
      <c r="K350" s="56"/>
      <c r="L350" s="49"/>
      <c r="M350" s="60"/>
      <c r="N350" s="179"/>
      <c r="O350" s="179"/>
      <c r="P350" s="179"/>
      <c r="Q350" s="61"/>
      <c r="R350" s="49"/>
      <c r="S350" s="49"/>
      <c r="T350" s="49"/>
      <c r="U350" s="49"/>
      <c r="V350" s="49"/>
      <c r="W350" s="49"/>
      <c r="X350" s="49"/>
      <c r="Y350" s="49"/>
    </row>
    <row r="351" spans="1:25">
      <c r="A351" s="50"/>
      <c r="B351" s="272" t="s">
        <v>108</v>
      </c>
      <c r="C351" s="180" t="s">
        <v>99</v>
      </c>
      <c r="D351" s="273"/>
      <c r="E351" s="53"/>
      <c r="F351" s="49"/>
      <c r="G351" s="55"/>
      <c r="H351" s="178"/>
      <c r="I351" s="178"/>
      <c r="J351" s="178"/>
      <c r="K351" s="56"/>
      <c r="L351" s="49"/>
      <c r="M351" s="60"/>
      <c r="N351" s="179"/>
      <c r="O351" s="179"/>
      <c r="P351" s="179"/>
      <c r="Q351" s="61"/>
      <c r="R351" s="49"/>
      <c r="S351" s="49"/>
      <c r="T351" s="49"/>
      <c r="U351" s="49"/>
      <c r="V351" s="49"/>
      <c r="W351" s="49"/>
      <c r="X351" s="49"/>
      <c r="Y351" s="49"/>
    </row>
    <row r="352" spans="1:25">
      <c r="A352" s="50"/>
      <c r="B352" s="272" t="s">
        <v>48</v>
      </c>
      <c r="C352" s="180" t="s">
        <v>25</v>
      </c>
      <c r="D352" s="274"/>
      <c r="E352" s="53"/>
      <c r="F352" s="49"/>
      <c r="G352" s="55"/>
      <c r="H352" s="178"/>
      <c r="I352" s="178"/>
      <c r="J352" s="178"/>
      <c r="K352" s="56"/>
      <c r="L352" s="49"/>
      <c r="M352" s="60"/>
      <c r="N352" s="179"/>
      <c r="O352" s="179"/>
      <c r="P352" s="179"/>
      <c r="Q352" s="61"/>
      <c r="R352" s="49"/>
      <c r="S352" s="49"/>
      <c r="T352" s="49"/>
      <c r="U352" s="49"/>
      <c r="V352" s="49"/>
      <c r="W352" s="49"/>
      <c r="X352" s="49"/>
      <c r="Y352" s="49"/>
    </row>
    <row r="353" spans="1:25">
      <c r="A353" s="50"/>
      <c r="B353" s="272" t="s">
        <v>49</v>
      </c>
      <c r="C353" s="181">
        <v>45726</v>
      </c>
      <c r="D353" s="274"/>
      <c r="E353" s="53"/>
      <c r="F353" s="49"/>
      <c r="G353" s="55"/>
      <c r="H353" s="178"/>
      <c r="I353" s="178"/>
      <c r="J353" s="178"/>
      <c r="K353" s="56"/>
      <c r="L353" s="49"/>
      <c r="M353" s="60"/>
      <c r="N353" s="179"/>
      <c r="O353" s="179"/>
      <c r="P353" s="179"/>
      <c r="Q353" s="61"/>
      <c r="R353" s="49"/>
      <c r="S353" s="49"/>
      <c r="T353" s="49"/>
      <c r="U353" s="49"/>
      <c r="V353" s="49"/>
      <c r="W353" s="49"/>
      <c r="X353" s="49"/>
      <c r="Y353" s="49"/>
    </row>
    <row r="354" spans="1:25">
      <c r="A354" s="50"/>
      <c r="B354" s="275" t="s">
        <v>50</v>
      </c>
      <c r="C354" s="276">
        <v>45726</v>
      </c>
      <c r="D354" s="277"/>
      <c r="E354" s="53"/>
      <c r="F354" s="49"/>
      <c r="G354" s="55"/>
      <c r="H354" s="178"/>
      <c r="I354" s="178"/>
      <c r="J354" s="178"/>
      <c r="K354" s="56"/>
      <c r="L354" s="49"/>
      <c r="M354" s="60"/>
      <c r="N354" s="179"/>
      <c r="O354" s="179"/>
      <c r="P354" s="179"/>
      <c r="Q354" s="61"/>
      <c r="R354" s="49"/>
      <c r="S354" s="49"/>
      <c r="T354" s="49"/>
      <c r="U354" s="49"/>
      <c r="V354" s="49"/>
      <c r="W354" s="49"/>
      <c r="X354" s="49"/>
      <c r="Y354" s="49"/>
    </row>
    <row r="355" spans="1:25">
      <c r="A355" s="50"/>
      <c r="B355" s="177"/>
      <c r="C355" s="177"/>
      <c r="D355" s="177"/>
      <c r="E355" s="53"/>
      <c r="F355" s="49"/>
      <c r="G355" s="55"/>
      <c r="H355" s="178"/>
      <c r="I355" s="178"/>
      <c r="J355" s="178"/>
      <c r="K355" s="56"/>
      <c r="L355" s="49"/>
      <c r="M355" s="60"/>
      <c r="N355" s="179"/>
      <c r="O355" s="179"/>
      <c r="P355" s="179"/>
      <c r="Q355" s="61"/>
      <c r="R355" s="49"/>
      <c r="S355" s="49"/>
      <c r="T355" s="49"/>
      <c r="U355" s="49"/>
      <c r="V355" s="49"/>
      <c r="W355" s="49"/>
      <c r="X355" s="49"/>
      <c r="Y355" s="49"/>
    </row>
    <row r="356" spans="1:25">
      <c r="A356" s="50"/>
      <c r="B356" s="516" t="s">
        <v>201</v>
      </c>
      <c r="C356" s="517"/>
      <c r="D356" s="518"/>
      <c r="E356" s="53"/>
      <c r="F356" s="49"/>
      <c r="G356" s="55"/>
      <c r="H356" s="178"/>
      <c r="I356" s="178"/>
      <c r="J356" s="178"/>
      <c r="K356" s="56"/>
      <c r="L356" s="49"/>
      <c r="M356" s="60"/>
      <c r="N356" s="179"/>
      <c r="O356" s="179"/>
      <c r="P356" s="179"/>
      <c r="Q356" s="61"/>
      <c r="R356" s="49"/>
      <c r="S356" s="49"/>
      <c r="T356" s="49"/>
      <c r="U356" s="49"/>
      <c r="V356" s="49"/>
      <c r="W356" s="49"/>
      <c r="X356" s="49"/>
      <c r="Y356" s="49"/>
    </row>
    <row r="357" spans="1:25">
      <c r="A357" s="50"/>
      <c r="B357" s="272" t="s">
        <v>106</v>
      </c>
      <c r="C357" s="180" t="s">
        <v>210</v>
      </c>
      <c r="D357" s="273"/>
      <c r="E357" s="53"/>
      <c r="F357" s="49"/>
      <c r="G357" s="55"/>
      <c r="H357" s="178"/>
      <c r="I357" s="178"/>
      <c r="J357" s="178"/>
      <c r="K357" s="56"/>
      <c r="L357" s="49"/>
      <c r="M357" s="60"/>
      <c r="N357" s="179"/>
      <c r="O357" s="179"/>
      <c r="P357" s="179"/>
      <c r="Q357" s="61"/>
      <c r="R357" s="49"/>
      <c r="S357" s="49"/>
      <c r="T357" s="49"/>
      <c r="U357" s="49"/>
      <c r="V357" s="49"/>
      <c r="W357" s="49"/>
      <c r="X357" s="49"/>
      <c r="Y357" s="49"/>
    </row>
    <row r="358" spans="1:25">
      <c r="A358" s="50"/>
      <c r="B358" s="272" t="s">
        <v>108</v>
      </c>
      <c r="C358" s="180" t="s">
        <v>99</v>
      </c>
      <c r="D358" s="273"/>
      <c r="E358" s="53"/>
      <c r="F358" s="49"/>
      <c r="G358" s="55"/>
      <c r="H358" s="178"/>
      <c r="I358" s="178"/>
      <c r="J358" s="178"/>
      <c r="K358" s="56"/>
      <c r="L358" s="49"/>
      <c r="M358" s="60"/>
      <c r="N358" s="179"/>
      <c r="O358" s="179"/>
      <c r="P358" s="179"/>
      <c r="Q358" s="61"/>
      <c r="R358" s="49"/>
      <c r="S358" s="49"/>
      <c r="T358" s="49"/>
      <c r="U358" s="49"/>
      <c r="V358" s="49"/>
      <c r="W358" s="49"/>
      <c r="X358" s="49"/>
      <c r="Y358" s="49"/>
    </row>
    <row r="359" spans="1:25">
      <c r="A359" s="50"/>
      <c r="B359" s="272" t="s">
        <v>48</v>
      </c>
      <c r="C359" s="180" t="s">
        <v>102</v>
      </c>
      <c r="D359" s="274"/>
      <c r="E359" s="53"/>
      <c r="F359" s="49"/>
      <c r="G359" s="55"/>
      <c r="H359" s="178"/>
      <c r="I359" s="178"/>
      <c r="J359" s="178"/>
      <c r="K359" s="56"/>
      <c r="L359" s="49"/>
      <c r="M359" s="60"/>
      <c r="N359" s="179"/>
      <c r="O359" s="179"/>
      <c r="P359" s="179"/>
      <c r="Q359" s="61"/>
      <c r="R359" s="49"/>
      <c r="S359" s="49"/>
      <c r="T359" s="49"/>
      <c r="U359" s="49"/>
      <c r="V359" s="49"/>
      <c r="W359" s="49"/>
      <c r="X359" s="49"/>
      <c r="Y359" s="49"/>
    </row>
    <row r="360" spans="1:25">
      <c r="A360" s="50"/>
      <c r="B360" s="272" t="s">
        <v>49</v>
      </c>
      <c r="C360" s="181">
        <v>45708</v>
      </c>
      <c r="D360" s="274"/>
      <c r="E360" s="53"/>
      <c r="F360" s="49"/>
      <c r="G360" s="55"/>
      <c r="H360" s="178"/>
      <c r="I360" s="178"/>
      <c r="J360" s="178"/>
      <c r="K360" s="56"/>
      <c r="L360" s="49"/>
      <c r="M360" s="60"/>
      <c r="N360" s="179"/>
      <c r="O360" s="179"/>
      <c r="P360" s="179"/>
      <c r="Q360" s="61"/>
      <c r="R360" s="49"/>
      <c r="S360" s="49"/>
      <c r="T360" s="49"/>
      <c r="U360" s="49"/>
      <c r="V360" s="49"/>
      <c r="W360" s="49"/>
      <c r="X360" s="49"/>
      <c r="Y360" s="49"/>
    </row>
    <row r="361" spans="1:25">
      <c r="A361" s="50"/>
      <c r="B361" s="275" t="s">
        <v>50</v>
      </c>
      <c r="C361" s="276">
        <v>45709</v>
      </c>
      <c r="D361" s="277"/>
      <c r="E361" s="53"/>
      <c r="F361" s="49"/>
      <c r="G361" s="55"/>
      <c r="H361" s="178"/>
      <c r="I361" s="178"/>
      <c r="J361" s="178"/>
      <c r="K361" s="56"/>
      <c r="L361" s="49"/>
      <c r="M361" s="60"/>
      <c r="N361" s="179"/>
      <c r="O361" s="179"/>
      <c r="P361" s="179"/>
      <c r="Q361" s="61"/>
      <c r="R361" s="49"/>
      <c r="S361" s="49"/>
      <c r="T361" s="49"/>
      <c r="U361" s="49"/>
      <c r="V361" s="49"/>
      <c r="W361" s="49"/>
      <c r="X361" s="49"/>
      <c r="Y361" s="49"/>
    </row>
    <row r="362" spans="1:25">
      <c r="A362" s="50"/>
      <c r="B362" s="177"/>
      <c r="C362" s="177"/>
      <c r="D362" s="177"/>
      <c r="E362" s="53"/>
      <c r="F362" s="49"/>
      <c r="G362" s="55"/>
      <c r="H362" s="178"/>
      <c r="I362" s="178"/>
      <c r="J362" s="178"/>
      <c r="K362" s="56"/>
      <c r="L362" s="49"/>
      <c r="M362" s="60"/>
      <c r="N362" s="179"/>
      <c r="O362" s="179"/>
      <c r="P362" s="179"/>
      <c r="Q362" s="61"/>
      <c r="R362" s="49"/>
      <c r="S362" s="49"/>
      <c r="T362" s="49"/>
      <c r="U362" s="49"/>
      <c r="V362" s="49"/>
      <c r="W362" s="49"/>
      <c r="X362" s="49"/>
      <c r="Y362" s="49"/>
    </row>
    <row r="363" spans="1:25">
      <c r="A363" s="50"/>
      <c r="B363" s="516" t="s">
        <v>201</v>
      </c>
      <c r="C363" s="517"/>
      <c r="D363" s="518"/>
      <c r="E363" s="53"/>
      <c r="F363" s="49"/>
      <c r="G363" s="55"/>
      <c r="H363" s="178"/>
      <c r="I363" s="178"/>
      <c r="J363" s="178"/>
      <c r="K363" s="56"/>
      <c r="L363" s="49"/>
      <c r="M363" s="60"/>
      <c r="N363" s="179"/>
      <c r="O363" s="179"/>
      <c r="P363" s="179"/>
      <c r="Q363" s="61"/>
      <c r="R363" s="49"/>
      <c r="S363" s="49"/>
      <c r="T363" s="49"/>
      <c r="U363" s="49"/>
      <c r="V363" s="49"/>
      <c r="W363" s="49"/>
      <c r="X363" s="49"/>
      <c r="Y363" s="49"/>
    </row>
    <row r="364" spans="1:25">
      <c r="A364" s="50"/>
      <c r="B364" s="272" t="s">
        <v>106</v>
      </c>
      <c r="C364" s="180" t="s">
        <v>214</v>
      </c>
      <c r="D364" s="273"/>
      <c r="E364" s="53"/>
      <c r="F364" s="49"/>
      <c r="G364" s="55"/>
      <c r="H364" s="178"/>
      <c r="I364" s="178"/>
      <c r="J364" s="178"/>
      <c r="K364" s="56"/>
      <c r="L364" s="49"/>
      <c r="M364" s="60"/>
      <c r="N364" s="179"/>
      <c r="O364" s="179"/>
      <c r="P364" s="179"/>
      <c r="Q364" s="61"/>
      <c r="R364" s="49"/>
      <c r="S364" s="49"/>
      <c r="T364" s="49"/>
      <c r="U364" s="49"/>
      <c r="V364" s="49"/>
      <c r="W364" s="49"/>
      <c r="X364" s="49"/>
      <c r="Y364" s="49"/>
    </row>
    <row r="365" spans="1:25">
      <c r="A365" s="50"/>
      <c r="B365" s="272" t="s">
        <v>108</v>
      </c>
      <c r="C365" s="180" t="s">
        <v>99</v>
      </c>
      <c r="D365" s="273"/>
      <c r="E365" s="53"/>
      <c r="F365" s="49"/>
      <c r="G365" s="55"/>
      <c r="H365" s="178"/>
      <c r="I365" s="178"/>
      <c r="J365" s="178"/>
      <c r="K365" s="56"/>
      <c r="L365" s="49"/>
      <c r="M365" s="60"/>
      <c r="N365" s="179"/>
      <c r="O365" s="179"/>
      <c r="P365" s="179"/>
      <c r="Q365" s="61"/>
      <c r="R365" s="49"/>
      <c r="S365" s="49"/>
      <c r="T365" s="49"/>
      <c r="U365" s="49"/>
      <c r="V365" s="49"/>
      <c r="W365" s="49"/>
      <c r="X365" s="49"/>
      <c r="Y365" s="49"/>
    </row>
    <row r="366" spans="1:25">
      <c r="A366" s="50"/>
      <c r="B366" s="272" t="s">
        <v>48</v>
      </c>
      <c r="C366" s="180" t="s">
        <v>39</v>
      </c>
      <c r="D366" s="274"/>
      <c r="E366" s="53"/>
      <c r="F366" s="49"/>
      <c r="G366" s="55"/>
      <c r="H366" s="178"/>
      <c r="I366" s="178"/>
      <c r="J366" s="178"/>
      <c r="K366" s="56"/>
      <c r="L366" s="49"/>
      <c r="M366" s="60"/>
      <c r="N366" s="179"/>
      <c r="O366" s="179"/>
      <c r="P366" s="179"/>
      <c r="Q366" s="61"/>
      <c r="R366" s="49"/>
      <c r="S366" s="49"/>
      <c r="T366" s="49"/>
      <c r="U366" s="49"/>
      <c r="V366" s="49"/>
      <c r="W366" s="49"/>
      <c r="X366" s="49"/>
      <c r="Y366" s="49"/>
    </row>
    <row r="367" spans="1:25">
      <c r="A367" s="50"/>
      <c r="B367" s="272" t="s">
        <v>49</v>
      </c>
      <c r="C367" s="181">
        <v>45712</v>
      </c>
      <c r="D367" s="274"/>
      <c r="E367" s="53"/>
      <c r="F367" s="49"/>
      <c r="G367" s="55"/>
      <c r="H367" s="178"/>
      <c r="I367" s="178"/>
      <c r="J367" s="178"/>
      <c r="K367" s="56"/>
      <c r="L367" s="49"/>
      <c r="M367" s="60"/>
      <c r="N367" s="179"/>
      <c r="O367" s="179"/>
      <c r="P367" s="179"/>
      <c r="Q367" s="61"/>
      <c r="R367" s="49"/>
      <c r="S367" s="49"/>
      <c r="T367" s="49"/>
      <c r="U367" s="49"/>
      <c r="V367" s="49"/>
      <c r="W367" s="49"/>
      <c r="X367" s="49"/>
      <c r="Y367" s="49"/>
    </row>
    <row r="368" spans="1:25">
      <c r="A368" s="50"/>
      <c r="B368" s="275" t="s">
        <v>50</v>
      </c>
      <c r="C368" s="276">
        <v>45715</v>
      </c>
      <c r="D368" s="277"/>
      <c r="E368" s="53"/>
      <c r="F368" s="49"/>
      <c r="G368" s="55"/>
      <c r="H368" s="178"/>
      <c r="I368" s="178"/>
      <c r="J368" s="178"/>
      <c r="K368" s="56"/>
      <c r="L368" s="49"/>
      <c r="M368" s="60"/>
      <c r="N368" s="179"/>
      <c r="O368" s="179"/>
      <c r="P368" s="179"/>
      <c r="Q368" s="61"/>
      <c r="R368" s="49"/>
      <c r="S368" s="49"/>
      <c r="T368" s="49"/>
      <c r="U368" s="49"/>
      <c r="V368" s="49"/>
      <c r="W368" s="49"/>
      <c r="X368" s="49"/>
      <c r="Y368" s="49"/>
    </row>
    <row r="369" spans="1:25">
      <c r="A369" s="50"/>
      <c r="B369" s="177"/>
      <c r="C369" s="177"/>
      <c r="D369" s="177"/>
      <c r="E369" s="53"/>
      <c r="F369" s="49"/>
      <c r="G369" s="55"/>
      <c r="H369" s="178"/>
      <c r="I369" s="178"/>
      <c r="J369" s="178"/>
      <c r="K369" s="56"/>
      <c r="L369" s="49"/>
      <c r="M369" s="60"/>
      <c r="N369" s="179"/>
      <c r="O369" s="179"/>
      <c r="P369" s="179"/>
      <c r="Q369" s="61"/>
      <c r="R369" s="49"/>
      <c r="S369" s="49"/>
      <c r="T369" s="49"/>
      <c r="U369" s="49"/>
      <c r="V369" s="49"/>
      <c r="W369" s="49"/>
      <c r="X369" s="49"/>
      <c r="Y369" s="49"/>
    </row>
    <row r="370" spans="1:25">
      <c r="A370" s="50"/>
      <c r="B370" s="519" t="s">
        <v>203</v>
      </c>
      <c r="C370" s="520"/>
      <c r="D370" s="521"/>
      <c r="E370" s="53"/>
      <c r="F370" s="49"/>
      <c r="G370" s="55"/>
      <c r="H370" s="178"/>
      <c r="I370" s="178"/>
      <c r="J370" s="178"/>
      <c r="K370" s="56"/>
      <c r="L370" s="49"/>
      <c r="M370" s="60"/>
      <c r="N370" s="179"/>
      <c r="O370" s="179"/>
      <c r="P370" s="179"/>
      <c r="Q370" s="61"/>
      <c r="R370" s="49"/>
      <c r="S370" s="49"/>
      <c r="T370" s="49"/>
      <c r="U370" s="49"/>
      <c r="V370" s="49"/>
      <c r="W370" s="49"/>
      <c r="X370" s="49"/>
      <c r="Y370" s="49"/>
    </row>
    <row r="371" spans="1:25">
      <c r="A371" s="50"/>
      <c r="B371" s="278" t="s">
        <v>106</v>
      </c>
      <c r="C371" s="180" t="s">
        <v>27</v>
      </c>
      <c r="D371" s="279"/>
      <c r="E371" s="53"/>
      <c r="F371" s="49"/>
      <c r="G371" s="55"/>
      <c r="H371" s="178"/>
      <c r="I371" s="178"/>
      <c r="J371" s="178"/>
      <c r="K371" s="56"/>
      <c r="L371" s="49"/>
      <c r="M371" s="60"/>
      <c r="N371" s="179"/>
      <c r="O371" s="179"/>
      <c r="P371" s="179"/>
      <c r="Q371" s="61"/>
      <c r="R371" s="49"/>
      <c r="S371" s="49"/>
      <c r="T371" s="49"/>
      <c r="U371" s="49"/>
      <c r="V371" s="49"/>
      <c r="W371" s="49"/>
      <c r="X371" s="49"/>
      <c r="Y371" s="49"/>
    </row>
    <row r="372" spans="1:25">
      <c r="A372" s="50"/>
      <c r="B372" s="278" t="s">
        <v>108</v>
      </c>
      <c r="C372" s="180" t="s">
        <v>99</v>
      </c>
      <c r="D372" s="279"/>
      <c r="E372" s="53"/>
      <c r="F372" s="49"/>
      <c r="G372" s="55"/>
      <c r="H372" s="178"/>
      <c r="I372" s="178"/>
      <c r="J372" s="178"/>
      <c r="K372" s="56"/>
      <c r="L372" s="49"/>
      <c r="M372" s="60"/>
      <c r="N372" s="179"/>
      <c r="O372" s="179"/>
      <c r="P372" s="179"/>
      <c r="Q372" s="61"/>
      <c r="R372" s="49"/>
      <c r="S372" s="49"/>
      <c r="T372" s="49"/>
      <c r="U372" s="49"/>
      <c r="V372" s="49"/>
      <c r="W372" s="49"/>
      <c r="X372" s="49"/>
      <c r="Y372" s="49"/>
    </row>
    <row r="373" spans="1:25">
      <c r="A373" s="50"/>
      <c r="B373" s="278" t="s">
        <v>48</v>
      </c>
      <c r="C373" s="180" t="s">
        <v>25</v>
      </c>
      <c r="D373" s="280"/>
      <c r="E373" s="53"/>
      <c r="F373" s="49"/>
      <c r="G373" s="55"/>
      <c r="H373" s="178"/>
      <c r="I373" s="178"/>
      <c r="J373" s="178"/>
      <c r="K373" s="56"/>
      <c r="L373" s="49"/>
      <c r="M373" s="60"/>
      <c r="N373" s="179"/>
      <c r="O373" s="179"/>
      <c r="P373" s="179"/>
      <c r="Q373" s="61"/>
      <c r="R373" s="49"/>
      <c r="S373" s="49"/>
      <c r="T373" s="49"/>
      <c r="U373" s="49"/>
      <c r="V373" s="49"/>
      <c r="W373" s="49"/>
      <c r="X373" s="49"/>
      <c r="Y373" s="49"/>
    </row>
    <row r="374" spans="1:25">
      <c r="A374" s="50"/>
      <c r="B374" s="278" t="s">
        <v>49</v>
      </c>
      <c r="C374" s="181">
        <v>45727</v>
      </c>
      <c r="D374" s="280"/>
      <c r="E374" s="53"/>
      <c r="F374" s="49"/>
      <c r="G374" s="55"/>
      <c r="H374" s="178"/>
      <c r="I374" s="178"/>
      <c r="J374" s="178"/>
      <c r="K374" s="56"/>
      <c r="L374" s="49"/>
      <c r="M374" s="60"/>
      <c r="N374" s="179"/>
      <c r="O374" s="179"/>
      <c r="P374" s="179"/>
      <c r="Q374" s="61"/>
      <c r="R374" s="49"/>
      <c r="S374" s="49"/>
      <c r="T374" s="49"/>
      <c r="U374" s="49"/>
      <c r="V374" s="49"/>
      <c r="W374" s="49"/>
      <c r="X374" s="49"/>
      <c r="Y374" s="49"/>
    </row>
    <row r="375" spans="1:25">
      <c r="A375" s="50"/>
      <c r="B375" s="281" t="s">
        <v>50</v>
      </c>
      <c r="C375" s="282">
        <v>45727</v>
      </c>
      <c r="D375" s="283"/>
      <c r="E375" s="53"/>
      <c r="F375" s="49"/>
      <c r="G375" s="55"/>
      <c r="H375" s="178"/>
      <c r="I375" s="178"/>
      <c r="J375" s="178"/>
      <c r="K375" s="56"/>
      <c r="L375" s="49"/>
      <c r="M375" s="60"/>
      <c r="N375" s="179"/>
      <c r="O375" s="179"/>
      <c r="P375" s="179"/>
      <c r="Q375" s="61"/>
      <c r="R375" s="49"/>
      <c r="S375" s="49"/>
      <c r="T375" s="49"/>
      <c r="U375" s="49"/>
      <c r="V375" s="49"/>
      <c r="W375" s="49"/>
      <c r="X375" s="49"/>
      <c r="Y375" s="49"/>
    </row>
    <row r="376" spans="1:25">
      <c r="A376" s="50"/>
      <c r="B376" s="177"/>
      <c r="C376" s="177"/>
      <c r="D376" s="177"/>
      <c r="E376" s="53"/>
      <c r="F376" s="49"/>
      <c r="G376" s="55"/>
      <c r="H376" s="178"/>
      <c r="I376" s="178"/>
      <c r="J376" s="178"/>
      <c r="K376" s="56"/>
      <c r="L376" s="49"/>
      <c r="M376" s="60"/>
      <c r="N376" s="179"/>
      <c r="O376" s="179"/>
      <c r="P376" s="179"/>
      <c r="Q376" s="61"/>
      <c r="R376" s="49"/>
      <c r="S376" s="49"/>
      <c r="T376" s="49"/>
      <c r="U376" s="49"/>
      <c r="V376" s="49"/>
      <c r="W376" s="49"/>
      <c r="X376" s="49"/>
      <c r="Y376" s="49"/>
    </row>
    <row r="377" spans="1:25">
      <c r="A377" s="50"/>
      <c r="B377" s="519" t="s">
        <v>203</v>
      </c>
      <c r="C377" s="520"/>
      <c r="D377" s="521"/>
      <c r="E377" s="53"/>
      <c r="F377" s="49"/>
      <c r="G377" s="55"/>
      <c r="H377" s="178"/>
      <c r="I377" s="178"/>
      <c r="J377" s="178"/>
      <c r="K377" s="56"/>
      <c r="L377" s="49"/>
      <c r="M377" s="60"/>
      <c r="N377" s="179"/>
      <c r="O377" s="179"/>
      <c r="P377" s="179"/>
      <c r="Q377" s="61"/>
      <c r="R377" s="49"/>
      <c r="S377" s="49"/>
      <c r="T377" s="49"/>
      <c r="U377" s="49"/>
      <c r="V377" s="49"/>
      <c r="W377" s="49"/>
      <c r="X377" s="49"/>
      <c r="Y377" s="49"/>
    </row>
    <row r="378" spans="1:25">
      <c r="A378" s="50"/>
      <c r="B378" s="278" t="s">
        <v>106</v>
      </c>
      <c r="C378" s="180" t="s">
        <v>210</v>
      </c>
      <c r="D378" s="279"/>
      <c r="E378" s="53"/>
      <c r="F378" s="49"/>
      <c r="G378" s="55"/>
      <c r="H378" s="178"/>
      <c r="I378" s="178"/>
      <c r="J378" s="178"/>
      <c r="K378" s="56"/>
      <c r="L378" s="49"/>
      <c r="M378" s="60"/>
      <c r="N378" s="179"/>
      <c r="O378" s="179"/>
      <c r="P378" s="179"/>
      <c r="Q378" s="61"/>
      <c r="R378" s="49"/>
      <c r="S378" s="49"/>
      <c r="T378" s="49"/>
      <c r="U378" s="49"/>
      <c r="V378" s="49"/>
      <c r="W378" s="49"/>
      <c r="X378" s="49"/>
      <c r="Y378" s="49"/>
    </row>
    <row r="379" spans="1:25">
      <c r="A379" s="50"/>
      <c r="B379" s="278" t="s">
        <v>108</v>
      </c>
      <c r="C379" s="180" t="s">
        <v>99</v>
      </c>
      <c r="D379" s="279"/>
      <c r="E379" s="53"/>
      <c r="F379" s="49"/>
      <c r="G379" s="55"/>
      <c r="H379" s="178"/>
      <c r="I379" s="178"/>
      <c r="J379" s="178"/>
      <c r="K379" s="56"/>
      <c r="L379" s="49"/>
      <c r="M379" s="60"/>
      <c r="N379" s="179"/>
      <c r="O379" s="179"/>
      <c r="P379" s="179"/>
      <c r="Q379" s="61"/>
      <c r="R379" s="49"/>
      <c r="S379" s="49"/>
      <c r="T379" s="49"/>
      <c r="U379" s="49"/>
      <c r="V379" s="49"/>
      <c r="W379" s="49"/>
      <c r="X379" s="49"/>
      <c r="Y379" s="49"/>
    </row>
    <row r="380" spans="1:25">
      <c r="A380" s="50"/>
      <c r="B380" s="278" t="s">
        <v>48</v>
      </c>
      <c r="C380" s="180" t="s">
        <v>102</v>
      </c>
      <c r="D380" s="280"/>
      <c r="E380" s="53"/>
      <c r="F380" s="49"/>
      <c r="G380" s="55"/>
      <c r="H380" s="178"/>
      <c r="I380" s="178"/>
      <c r="J380" s="178"/>
      <c r="K380" s="56"/>
      <c r="L380" s="49"/>
      <c r="M380" s="60"/>
      <c r="N380" s="179"/>
      <c r="O380" s="179"/>
      <c r="P380" s="179"/>
      <c r="Q380" s="61"/>
      <c r="R380" s="49"/>
      <c r="S380" s="49"/>
      <c r="T380" s="49"/>
      <c r="U380" s="49"/>
      <c r="V380" s="49"/>
      <c r="W380" s="49"/>
      <c r="X380" s="49"/>
      <c r="Y380" s="49"/>
    </row>
    <row r="381" spans="1:25">
      <c r="A381" s="50"/>
      <c r="B381" s="278" t="s">
        <v>49</v>
      </c>
      <c r="C381" s="181">
        <v>45712</v>
      </c>
      <c r="D381" s="280"/>
      <c r="E381" s="53"/>
      <c r="F381" s="49"/>
      <c r="G381" s="55"/>
      <c r="H381" s="178"/>
      <c r="I381" s="178"/>
      <c r="J381" s="178"/>
      <c r="K381" s="56"/>
      <c r="L381" s="49"/>
      <c r="M381" s="60"/>
      <c r="N381" s="179"/>
      <c r="O381" s="179"/>
      <c r="P381" s="179"/>
      <c r="Q381" s="61"/>
      <c r="R381" s="49"/>
      <c r="S381" s="49"/>
      <c r="T381" s="49"/>
      <c r="U381" s="49"/>
      <c r="V381" s="49"/>
      <c r="W381" s="49"/>
      <c r="X381" s="49"/>
      <c r="Y381" s="49"/>
    </row>
    <row r="382" spans="1:25">
      <c r="A382" s="50"/>
      <c r="B382" s="281" t="s">
        <v>50</v>
      </c>
      <c r="C382" s="282">
        <v>45713</v>
      </c>
      <c r="D382" s="283"/>
      <c r="E382" s="53"/>
      <c r="F382" s="49"/>
      <c r="G382" s="55"/>
      <c r="H382" s="178"/>
      <c r="I382" s="178"/>
      <c r="J382" s="178"/>
      <c r="K382" s="56"/>
      <c r="L382" s="49"/>
      <c r="M382" s="60"/>
      <c r="N382" s="179"/>
      <c r="O382" s="179"/>
      <c r="P382" s="179"/>
      <c r="Q382" s="61"/>
      <c r="R382" s="49"/>
      <c r="S382" s="49"/>
      <c r="T382" s="49"/>
      <c r="U382" s="49"/>
      <c r="V382" s="49"/>
      <c r="W382" s="49"/>
      <c r="X382" s="49"/>
      <c r="Y382" s="49"/>
    </row>
    <row r="383" spans="1:25">
      <c r="A383" s="50"/>
      <c r="B383" s="177"/>
      <c r="C383" s="177"/>
      <c r="D383" s="177"/>
      <c r="E383" s="53"/>
      <c r="F383" s="49"/>
      <c r="G383" s="55"/>
      <c r="H383" s="178"/>
      <c r="I383" s="178"/>
      <c r="J383" s="178"/>
      <c r="K383" s="56"/>
      <c r="L383" s="49"/>
      <c r="M383" s="60"/>
      <c r="N383" s="179"/>
      <c r="O383" s="179"/>
      <c r="P383" s="179"/>
      <c r="Q383" s="61"/>
      <c r="R383" s="49"/>
      <c r="S383" s="49"/>
      <c r="T383" s="49"/>
      <c r="U383" s="49"/>
      <c r="V383" s="49"/>
      <c r="W383" s="49"/>
      <c r="X383" s="49"/>
      <c r="Y383" s="49"/>
    </row>
    <row r="384" spans="1:25">
      <c r="A384" s="50"/>
      <c r="B384" s="519" t="s">
        <v>203</v>
      </c>
      <c r="C384" s="520"/>
      <c r="D384" s="521"/>
      <c r="E384" s="53"/>
      <c r="F384" s="49"/>
      <c r="G384" s="55"/>
      <c r="H384" s="178"/>
      <c r="I384" s="178"/>
      <c r="J384" s="178"/>
      <c r="K384" s="56"/>
      <c r="L384" s="49"/>
      <c r="M384" s="60"/>
      <c r="N384" s="179"/>
      <c r="O384" s="179"/>
      <c r="P384" s="179"/>
      <c r="Q384" s="61"/>
      <c r="R384" s="49"/>
      <c r="S384" s="49"/>
      <c r="T384" s="49"/>
      <c r="U384" s="49"/>
      <c r="V384" s="49"/>
      <c r="W384" s="49"/>
      <c r="X384" s="49"/>
      <c r="Y384" s="49"/>
    </row>
    <row r="385" spans="1:25">
      <c r="A385" s="50"/>
      <c r="B385" s="278" t="s">
        <v>106</v>
      </c>
      <c r="C385" s="180" t="s">
        <v>214</v>
      </c>
      <c r="D385" s="279"/>
      <c r="E385" s="53"/>
      <c r="F385" s="49"/>
      <c r="G385" s="55"/>
      <c r="H385" s="178"/>
      <c r="I385" s="178"/>
      <c r="J385" s="178"/>
      <c r="K385" s="56"/>
      <c r="L385" s="49"/>
      <c r="M385" s="60"/>
      <c r="N385" s="179"/>
      <c r="O385" s="179"/>
      <c r="P385" s="179"/>
      <c r="Q385" s="61"/>
      <c r="R385" s="49"/>
      <c r="S385" s="49"/>
      <c r="T385" s="49"/>
      <c r="U385" s="49"/>
      <c r="V385" s="49"/>
      <c r="W385" s="49"/>
      <c r="X385" s="49"/>
      <c r="Y385" s="49"/>
    </row>
    <row r="386" spans="1:25">
      <c r="A386" s="50"/>
      <c r="B386" s="278" t="s">
        <v>108</v>
      </c>
      <c r="C386" s="180" t="s">
        <v>99</v>
      </c>
      <c r="D386" s="279"/>
      <c r="E386" s="53"/>
      <c r="F386" s="49"/>
      <c r="G386" s="55"/>
      <c r="H386" s="178"/>
      <c r="I386" s="178"/>
      <c r="J386" s="178"/>
      <c r="K386" s="56"/>
      <c r="L386" s="49"/>
      <c r="M386" s="60"/>
      <c r="N386" s="179"/>
      <c r="O386" s="179"/>
      <c r="P386" s="179"/>
      <c r="Q386" s="61"/>
      <c r="R386" s="49"/>
      <c r="S386" s="49"/>
      <c r="T386" s="49"/>
      <c r="U386" s="49"/>
      <c r="V386" s="49"/>
      <c r="W386" s="49"/>
      <c r="X386" s="49"/>
      <c r="Y386" s="49"/>
    </row>
    <row r="387" spans="1:25">
      <c r="A387" s="50"/>
      <c r="B387" s="278" t="s">
        <v>48</v>
      </c>
      <c r="C387" s="180" t="s">
        <v>39</v>
      </c>
      <c r="D387" s="280"/>
      <c r="E387" s="53"/>
      <c r="F387" s="49"/>
      <c r="G387" s="55"/>
      <c r="H387" s="178"/>
      <c r="I387" s="178"/>
      <c r="J387" s="178"/>
      <c r="K387" s="56"/>
      <c r="L387" s="49"/>
      <c r="M387" s="60"/>
      <c r="N387" s="179"/>
      <c r="O387" s="179"/>
      <c r="P387" s="179"/>
      <c r="Q387" s="61"/>
      <c r="R387" s="49"/>
      <c r="S387" s="49"/>
      <c r="T387" s="49"/>
      <c r="U387" s="49"/>
      <c r="V387" s="49"/>
      <c r="W387" s="49"/>
      <c r="X387" s="49"/>
      <c r="Y387" s="49"/>
    </row>
    <row r="388" spans="1:25">
      <c r="A388" s="50"/>
      <c r="B388" s="278" t="s">
        <v>49</v>
      </c>
      <c r="C388" s="181">
        <v>45714</v>
      </c>
      <c r="D388" s="280"/>
      <c r="E388" s="53"/>
      <c r="F388" s="49"/>
      <c r="G388" s="55"/>
      <c r="H388" s="178"/>
      <c r="I388" s="178"/>
      <c r="J388" s="178"/>
      <c r="K388" s="56"/>
      <c r="L388" s="49"/>
      <c r="M388" s="60"/>
      <c r="N388" s="179"/>
      <c r="O388" s="179"/>
      <c r="P388" s="179"/>
      <c r="Q388" s="61"/>
      <c r="R388" s="49"/>
      <c r="S388" s="49"/>
      <c r="T388" s="49"/>
      <c r="U388" s="49"/>
      <c r="V388" s="49"/>
      <c r="W388" s="49"/>
      <c r="X388" s="49"/>
      <c r="Y388" s="49"/>
    </row>
    <row r="389" spans="1:25">
      <c r="A389" s="50"/>
      <c r="B389" s="281" t="s">
        <v>50</v>
      </c>
      <c r="C389" s="282">
        <v>45721</v>
      </c>
      <c r="D389" s="283"/>
      <c r="E389" s="53"/>
      <c r="F389" s="49"/>
      <c r="G389" s="55"/>
      <c r="H389" s="178"/>
      <c r="I389" s="178"/>
      <c r="J389" s="178"/>
      <c r="K389" s="56"/>
      <c r="L389" s="49"/>
      <c r="M389" s="60"/>
      <c r="N389" s="179"/>
      <c r="O389" s="179"/>
      <c r="P389" s="179"/>
      <c r="Q389" s="61"/>
      <c r="R389" s="49"/>
      <c r="S389" s="49"/>
      <c r="T389" s="49"/>
      <c r="U389" s="49"/>
      <c r="V389" s="49"/>
      <c r="W389" s="49"/>
      <c r="X389" s="49"/>
      <c r="Y389" s="49"/>
    </row>
    <row r="390" spans="1:25">
      <c r="A390" s="50"/>
      <c r="B390" s="177"/>
      <c r="C390" s="177"/>
      <c r="D390" s="177"/>
      <c r="E390" s="53"/>
      <c r="F390" s="49"/>
      <c r="G390" s="55"/>
      <c r="H390" s="178"/>
      <c r="I390" s="178"/>
      <c r="J390" s="178"/>
      <c r="K390" s="56"/>
      <c r="L390" s="49"/>
      <c r="M390" s="60"/>
      <c r="N390" s="179"/>
      <c r="O390" s="179"/>
      <c r="P390" s="179"/>
      <c r="Q390" s="61"/>
      <c r="R390" s="49"/>
      <c r="S390" s="49"/>
      <c r="T390" s="49"/>
      <c r="U390" s="49"/>
      <c r="V390" s="49"/>
      <c r="W390" s="49"/>
      <c r="X390" s="49"/>
      <c r="Y390" s="49"/>
    </row>
    <row r="391" spans="1:25">
      <c r="A391" s="50"/>
      <c r="B391" s="525" t="s">
        <v>205</v>
      </c>
      <c r="C391" s="526"/>
      <c r="D391" s="527"/>
      <c r="E391" s="53"/>
      <c r="F391" s="49"/>
      <c r="G391" s="55"/>
      <c r="H391" s="178"/>
      <c r="I391" s="178"/>
      <c r="J391" s="178"/>
      <c r="K391" s="56"/>
      <c r="L391" s="49"/>
      <c r="M391" s="60"/>
      <c r="N391" s="179"/>
      <c r="O391" s="179"/>
      <c r="P391" s="179"/>
      <c r="Q391" s="61"/>
      <c r="R391" s="49"/>
      <c r="S391" s="49"/>
      <c r="T391" s="49"/>
      <c r="U391" s="49"/>
      <c r="V391" s="49"/>
      <c r="W391" s="49"/>
      <c r="X391" s="49"/>
      <c r="Y391" s="49"/>
    </row>
    <row r="392" spans="1:25">
      <c r="A392" s="50"/>
      <c r="B392" s="284" t="s">
        <v>106</v>
      </c>
      <c r="C392" s="180" t="s">
        <v>27</v>
      </c>
      <c r="D392" s="285"/>
      <c r="E392" s="53"/>
      <c r="F392" s="49"/>
      <c r="G392" s="55"/>
      <c r="H392" s="178"/>
      <c r="I392" s="178"/>
      <c r="J392" s="178"/>
      <c r="K392" s="56"/>
      <c r="L392" s="49"/>
      <c r="M392" s="60"/>
      <c r="N392" s="179"/>
      <c r="O392" s="179"/>
      <c r="P392" s="179"/>
      <c r="Q392" s="61"/>
      <c r="R392" s="49"/>
      <c r="S392" s="49"/>
      <c r="T392" s="49"/>
      <c r="U392" s="49"/>
      <c r="V392" s="49"/>
      <c r="W392" s="49"/>
      <c r="X392" s="49"/>
      <c r="Y392" s="49"/>
    </row>
    <row r="393" spans="1:25">
      <c r="A393" s="50"/>
      <c r="B393" s="284" t="s">
        <v>108</v>
      </c>
      <c r="C393" s="180" t="s">
        <v>99</v>
      </c>
      <c r="D393" s="285"/>
      <c r="E393" s="53"/>
      <c r="F393" s="49"/>
      <c r="G393" s="55"/>
      <c r="H393" s="178"/>
      <c r="I393" s="178"/>
      <c r="J393" s="178"/>
      <c r="K393" s="56"/>
      <c r="L393" s="49"/>
      <c r="M393" s="60"/>
      <c r="N393" s="179"/>
      <c r="O393" s="179"/>
      <c r="P393" s="179"/>
      <c r="Q393" s="61"/>
      <c r="R393" s="49"/>
      <c r="S393" s="49"/>
      <c r="T393" s="49"/>
      <c r="U393" s="49"/>
      <c r="V393" s="49"/>
      <c r="W393" s="49"/>
      <c r="X393" s="49"/>
      <c r="Y393" s="49"/>
    </row>
    <row r="394" spans="1:25">
      <c r="A394" s="50"/>
      <c r="B394" s="284" t="s">
        <v>48</v>
      </c>
      <c r="C394" s="180" t="s">
        <v>25</v>
      </c>
      <c r="D394" s="286"/>
      <c r="E394" s="53"/>
      <c r="F394" s="49"/>
      <c r="G394" s="55"/>
      <c r="H394" s="178"/>
      <c r="I394" s="178"/>
      <c r="J394" s="178"/>
      <c r="K394" s="56"/>
      <c r="L394" s="49"/>
      <c r="M394" s="60"/>
      <c r="N394" s="179"/>
      <c r="O394" s="179"/>
      <c r="P394" s="179"/>
      <c r="Q394" s="61"/>
      <c r="R394" s="49"/>
      <c r="S394" s="49"/>
      <c r="T394" s="49"/>
      <c r="U394" s="49"/>
      <c r="V394" s="49"/>
      <c r="W394" s="49"/>
      <c r="X394" s="49"/>
      <c r="Y394" s="49"/>
    </row>
    <row r="395" spans="1:25">
      <c r="A395" s="50"/>
      <c r="B395" s="284" t="s">
        <v>49</v>
      </c>
      <c r="C395" s="181">
        <v>45728</v>
      </c>
      <c r="D395" s="286"/>
      <c r="E395" s="53"/>
      <c r="F395" s="49"/>
      <c r="G395" s="55"/>
      <c r="H395" s="178"/>
      <c r="I395" s="178"/>
      <c r="J395" s="178"/>
      <c r="K395" s="56"/>
      <c r="L395" s="49"/>
      <c r="M395" s="60"/>
      <c r="N395" s="179"/>
      <c r="O395" s="179"/>
      <c r="P395" s="179"/>
      <c r="Q395" s="61"/>
      <c r="R395" s="49"/>
      <c r="S395" s="49"/>
      <c r="T395" s="49"/>
      <c r="U395" s="49"/>
      <c r="V395" s="49"/>
      <c r="W395" s="49"/>
      <c r="X395" s="49"/>
      <c r="Y395" s="49"/>
    </row>
    <row r="396" spans="1:25">
      <c r="A396" s="50"/>
      <c r="B396" s="287" t="s">
        <v>50</v>
      </c>
      <c r="C396" s="288">
        <v>45728</v>
      </c>
      <c r="D396" s="289"/>
      <c r="E396" s="53"/>
      <c r="F396" s="49"/>
      <c r="G396" s="55"/>
      <c r="H396" s="178"/>
      <c r="I396" s="178"/>
      <c r="J396" s="178"/>
      <c r="K396" s="56"/>
      <c r="L396" s="49"/>
      <c r="M396" s="60"/>
      <c r="N396" s="179"/>
      <c r="O396" s="179"/>
      <c r="P396" s="179"/>
      <c r="Q396" s="61"/>
      <c r="R396" s="49"/>
      <c r="S396" s="49"/>
      <c r="T396" s="49"/>
      <c r="U396" s="49"/>
      <c r="V396" s="49"/>
      <c r="W396" s="49"/>
      <c r="X396" s="49"/>
      <c r="Y396" s="49"/>
    </row>
    <row r="397" spans="1:25">
      <c r="A397" s="50"/>
      <c r="B397" s="177"/>
      <c r="C397" s="177"/>
      <c r="D397" s="177"/>
      <c r="E397" s="53"/>
      <c r="F397" s="49"/>
      <c r="G397" s="55"/>
      <c r="H397" s="178"/>
      <c r="I397" s="178"/>
      <c r="J397" s="178"/>
      <c r="K397" s="56"/>
      <c r="L397" s="49"/>
      <c r="M397" s="60"/>
      <c r="N397" s="179"/>
      <c r="O397" s="179"/>
      <c r="P397" s="179"/>
      <c r="Q397" s="61"/>
      <c r="R397" s="49"/>
      <c r="S397" s="49"/>
      <c r="T397" s="49"/>
      <c r="U397" s="49"/>
      <c r="V397" s="49"/>
      <c r="W397" s="49"/>
      <c r="X397" s="49"/>
      <c r="Y397" s="49"/>
    </row>
    <row r="398" spans="1:25">
      <c r="A398" s="50"/>
      <c r="B398" s="525" t="s">
        <v>205</v>
      </c>
      <c r="C398" s="526"/>
      <c r="D398" s="527"/>
      <c r="E398" s="53"/>
      <c r="F398" s="49"/>
      <c r="G398" s="55"/>
      <c r="H398" s="178"/>
      <c r="I398" s="178"/>
      <c r="J398" s="178"/>
      <c r="K398" s="56"/>
      <c r="L398" s="49"/>
      <c r="M398" s="60"/>
      <c r="N398" s="179"/>
      <c r="O398" s="179"/>
      <c r="P398" s="179"/>
      <c r="Q398" s="61"/>
      <c r="R398" s="49"/>
      <c r="S398" s="49"/>
      <c r="T398" s="49"/>
      <c r="U398" s="49"/>
      <c r="V398" s="49"/>
      <c r="W398" s="49"/>
      <c r="X398" s="49"/>
      <c r="Y398" s="49"/>
    </row>
    <row r="399" spans="1:25">
      <c r="A399" s="50"/>
      <c r="B399" s="284" t="s">
        <v>106</v>
      </c>
      <c r="C399" s="180" t="s">
        <v>210</v>
      </c>
      <c r="D399" s="285"/>
      <c r="E399" s="53"/>
      <c r="F399" s="49"/>
      <c r="G399" s="55"/>
      <c r="H399" s="178"/>
      <c r="I399" s="178"/>
      <c r="J399" s="178"/>
      <c r="K399" s="56"/>
      <c r="L399" s="49"/>
      <c r="M399" s="60"/>
      <c r="N399" s="179"/>
      <c r="O399" s="179"/>
      <c r="P399" s="179"/>
      <c r="Q399" s="61"/>
      <c r="R399" s="49"/>
      <c r="S399" s="49"/>
      <c r="T399" s="49"/>
      <c r="U399" s="49"/>
      <c r="V399" s="49"/>
      <c r="W399" s="49"/>
      <c r="X399" s="49"/>
      <c r="Y399" s="49"/>
    </row>
    <row r="400" spans="1:25">
      <c r="A400" s="50"/>
      <c r="B400" s="284" t="s">
        <v>108</v>
      </c>
      <c r="C400" s="180" t="s">
        <v>99</v>
      </c>
      <c r="D400" s="285"/>
      <c r="E400" s="53"/>
      <c r="F400" s="49"/>
      <c r="G400" s="55"/>
      <c r="H400" s="178"/>
      <c r="I400" s="178"/>
      <c r="J400" s="178"/>
      <c r="K400" s="56"/>
      <c r="L400" s="49"/>
      <c r="M400" s="60"/>
      <c r="N400" s="179"/>
      <c r="O400" s="179"/>
      <c r="P400" s="179"/>
      <c r="Q400" s="61"/>
      <c r="R400" s="49"/>
      <c r="S400" s="49"/>
      <c r="T400" s="49"/>
      <c r="U400" s="49"/>
      <c r="V400" s="49"/>
      <c r="W400" s="49"/>
      <c r="X400" s="49"/>
      <c r="Y400" s="49"/>
    </row>
    <row r="401" spans="1:25">
      <c r="A401" s="50"/>
      <c r="B401" s="284" t="s">
        <v>48</v>
      </c>
      <c r="C401" s="180" t="s">
        <v>102</v>
      </c>
      <c r="D401" s="286"/>
      <c r="E401" s="53"/>
      <c r="F401" s="49"/>
      <c r="G401" s="55"/>
      <c r="H401" s="178"/>
      <c r="I401" s="178"/>
      <c r="J401" s="178"/>
      <c r="K401" s="56"/>
      <c r="L401" s="49"/>
      <c r="M401" s="60"/>
      <c r="N401" s="179"/>
      <c r="O401" s="179"/>
      <c r="P401" s="179"/>
      <c r="Q401" s="61"/>
      <c r="R401" s="49"/>
      <c r="S401" s="49"/>
      <c r="T401" s="49"/>
      <c r="U401" s="49"/>
      <c r="V401" s="49"/>
      <c r="W401" s="49"/>
      <c r="X401" s="49"/>
      <c r="Y401" s="49"/>
    </row>
    <row r="402" spans="1:25">
      <c r="A402" s="50"/>
      <c r="B402" s="284" t="s">
        <v>49</v>
      </c>
      <c r="C402" s="181">
        <v>45712</v>
      </c>
      <c r="D402" s="286"/>
      <c r="E402" s="53"/>
      <c r="F402" s="49"/>
      <c r="G402" s="55"/>
      <c r="H402" s="178"/>
      <c r="I402" s="178"/>
      <c r="J402" s="178"/>
      <c r="K402" s="56"/>
      <c r="L402" s="49"/>
      <c r="M402" s="60"/>
      <c r="N402" s="179"/>
      <c r="O402" s="179"/>
      <c r="P402" s="179"/>
      <c r="Q402" s="61"/>
      <c r="R402" s="49"/>
      <c r="S402" s="49"/>
      <c r="T402" s="49"/>
      <c r="U402" s="49"/>
      <c r="V402" s="49"/>
      <c r="W402" s="49"/>
      <c r="X402" s="49"/>
      <c r="Y402" s="49"/>
    </row>
    <row r="403" spans="1:25">
      <c r="A403" s="50"/>
      <c r="B403" s="287" t="s">
        <v>50</v>
      </c>
      <c r="C403" s="288">
        <v>45713</v>
      </c>
      <c r="D403" s="289"/>
      <c r="E403" s="53"/>
      <c r="F403" s="49"/>
      <c r="G403" s="55"/>
      <c r="H403" s="178"/>
      <c r="I403" s="178"/>
      <c r="J403" s="178"/>
      <c r="K403" s="56"/>
      <c r="L403" s="49"/>
      <c r="M403" s="60"/>
      <c r="N403" s="179"/>
      <c r="O403" s="179"/>
      <c r="P403" s="179"/>
      <c r="Q403" s="61"/>
      <c r="R403" s="49"/>
      <c r="S403" s="49"/>
      <c r="T403" s="49"/>
      <c r="U403" s="49"/>
      <c r="V403" s="49"/>
      <c r="W403" s="49"/>
      <c r="X403" s="49"/>
      <c r="Y403" s="49"/>
    </row>
    <row r="404" spans="1:25">
      <c r="A404" s="50"/>
      <c r="B404" s="177"/>
      <c r="C404" s="177"/>
      <c r="D404" s="177"/>
      <c r="E404" s="53"/>
      <c r="F404" s="49"/>
      <c r="G404" s="55"/>
      <c r="H404" s="178"/>
      <c r="I404" s="178"/>
      <c r="J404" s="178"/>
      <c r="K404" s="56"/>
      <c r="L404" s="49"/>
      <c r="M404" s="60"/>
      <c r="N404" s="179"/>
      <c r="O404" s="179"/>
      <c r="P404" s="179"/>
      <c r="Q404" s="61"/>
      <c r="R404" s="49"/>
      <c r="S404" s="49"/>
      <c r="T404" s="49"/>
      <c r="U404" s="49"/>
      <c r="V404" s="49"/>
      <c r="W404" s="49"/>
      <c r="X404" s="49"/>
      <c r="Y404" s="49"/>
    </row>
    <row r="405" spans="1:25">
      <c r="A405" s="50"/>
      <c r="B405" s="525" t="s">
        <v>205</v>
      </c>
      <c r="C405" s="526"/>
      <c r="D405" s="527"/>
      <c r="E405" s="53"/>
      <c r="F405" s="49"/>
      <c r="G405" s="55"/>
      <c r="H405" s="178"/>
      <c r="I405" s="178"/>
      <c r="J405" s="178"/>
      <c r="K405" s="56"/>
      <c r="L405" s="49"/>
      <c r="M405" s="60"/>
      <c r="N405" s="179"/>
      <c r="O405" s="179"/>
      <c r="P405" s="179"/>
      <c r="Q405" s="61"/>
      <c r="R405" s="49"/>
      <c r="S405" s="49"/>
      <c r="T405" s="49"/>
      <c r="U405" s="49"/>
      <c r="V405" s="49"/>
      <c r="W405" s="49"/>
      <c r="X405" s="49"/>
      <c r="Y405" s="49"/>
    </row>
    <row r="406" spans="1:25">
      <c r="A406" s="50"/>
      <c r="B406" s="284" t="s">
        <v>106</v>
      </c>
      <c r="C406" s="180" t="s">
        <v>214</v>
      </c>
      <c r="D406" s="285"/>
      <c r="E406" s="53"/>
      <c r="F406" s="49"/>
      <c r="G406" s="55"/>
      <c r="H406" s="178"/>
      <c r="I406" s="178"/>
      <c r="J406" s="178"/>
      <c r="K406" s="56"/>
      <c r="L406" s="49"/>
      <c r="M406" s="60"/>
      <c r="N406" s="179"/>
      <c r="O406" s="179"/>
      <c r="P406" s="179"/>
      <c r="Q406" s="61"/>
      <c r="R406" s="49"/>
      <c r="S406" s="49"/>
      <c r="T406" s="49"/>
      <c r="U406" s="49"/>
      <c r="V406" s="49"/>
      <c r="W406" s="49"/>
      <c r="X406" s="49"/>
      <c r="Y406" s="49"/>
    </row>
    <row r="407" spans="1:25">
      <c r="A407" s="50"/>
      <c r="B407" s="284" t="s">
        <v>108</v>
      </c>
      <c r="C407" s="180" t="s">
        <v>99</v>
      </c>
      <c r="D407" s="285"/>
      <c r="E407" s="53"/>
      <c r="F407" s="49"/>
      <c r="G407" s="55"/>
      <c r="H407" s="178"/>
      <c r="I407" s="178"/>
      <c r="J407" s="178"/>
      <c r="K407" s="56"/>
      <c r="L407" s="49"/>
      <c r="M407" s="60"/>
      <c r="N407" s="179"/>
      <c r="O407" s="179"/>
      <c r="P407" s="179"/>
      <c r="Q407" s="61"/>
      <c r="R407" s="49"/>
      <c r="S407" s="49"/>
      <c r="T407" s="49"/>
      <c r="U407" s="49"/>
      <c r="V407" s="49"/>
      <c r="W407" s="49"/>
      <c r="X407" s="49"/>
      <c r="Y407" s="49"/>
    </row>
    <row r="408" spans="1:25">
      <c r="A408" s="50"/>
      <c r="B408" s="284" t="s">
        <v>48</v>
      </c>
      <c r="C408" s="180" t="s">
        <v>39</v>
      </c>
      <c r="D408" s="286"/>
      <c r="E408" s="53"/>
      <c r="F408" s="49"/>
      <c r="G408" s="55"/>
      <c r="H408" s="178"/>
      <c r="I408" s="178"/>
      <c r="J408" s="178"/>
      <c r="K408" s="56"/>
      <c r="L408" s="49"/>
      <c r="M408" s="60"/>
      <c r="N408" s="179"/>
      <c r="O408" s="179"/>
      <c r="P408" s="179"/>
      <c r="Q408" s="61"/>
      <c r="R408" s="49"/>
      <c r="S408" s="49"/>
      <c r="T408" s="49"/>
      <c r="U408" s="49"/>
      <c r="V408" s="49"/>
      <c r="W408" s="49"/>
      <c r="X408" s="49"/>
      <c r="Y408" s="49"/>
    </row>
    <row r="409" spans="1:25">
      <c r="A409" s="50"/>
      <c r="B409" s="284" t="s">
        <v>49</v>
      </c>
      <c r="C409" s="181">
        <v>45714</v>
      </c>
      <c r="D409" s="286"/>
      <c r="E409" s="53"/>
      <c r="F409" s="49"/>
      <c r="G409" s="55"/>
      <c r="H409" s="178"/>
      <c r="I409" s="178"/>
      <c r="J409" s="178"/>
      <c r="K409" s="56"/>
      <c r="L409" s="49"/>
      <c r="M409" s="60"/>
      <c r="N409" s="179"/>
      <c r="O409" s="179"/>
      <c r="P409" s="179"/>
      <c r="Q409" s="61"/>
      <c r="R409" s="49"/>
      <c r="S409" s="49"/>
      <c r="T409" s="49"/>
      <c r="U409" s="49"/>
      <c r="V409" s="49"/>
      <c r="W409" s="49"/>
      <c r="X409" s="49"/>
      <c r="Y409" s="49"/>
    </row>
    <row r="410" spans="1:25">
      <c r="A410" s="50"/>
      <c r="B410" s="287" t="s">
        <v>50</v>
      </c>
      <c r="C410" s="288">
        <v>45721</v>
      </c>
      <c r="D410" s="289"/>
      <c r="E410" s="53"/>
      <c r="F410" s="49"/>
      <c r="G410" s="55"/>
      <c r="H410" s="178"/>
      <c r="I410" s="178"/>
      <c r="J410" s="178"/>
      <c r="K410" s="56"/>
      <c r="L410" s="49"/>
      <c r="M410" s="60"/>
      <c r="N410" s="179"/>
      <c r="O410" s="179"/>
      <c r="P410" s="179"/>
      <c r="Q410" s="61"/>
      <c r="R410" s="49"/>
      <c r="S410" s="49"/>
      <c r="T410" s="49"/>
      <c r="U410" s="49"/>
      <c r="V410" s="49"/>
      <c r="W410" s="49"/>
      <c r="X410" s="49"/>
      <c r="Y410" s="49"/>
    </row>
    <row r="411" spans="1:25">
      <c r="A411" s="50"/>
      <c r="B411" s="177"/>
      <c r="C411" s="177"/>
      <c r="D411" s="177"/>
      <c r="E411" s="53"/>
      <c r="F411" s="49"/>
      <c r="G411" s="55"/>
      <c r="H411" s="178"/>
      <c r="I411" s="178"/>
      <c r="J411" s="178"/>
      <c r="K411" s="56"/>
      <c r="L411" s="49"/>
      <c r="M411" s="60"/>
      <c r="N411" s="179"/>
      <c r="O411" s="179"/>
      <c r="P411" s="179"/>
      <c r="Q411" s="61"/>
      <c r="R411" s="49"/>
      <c r="S411" s="49"/>
      <c r="T411" s="49"/>
      <c r="U411" s="49"/>
      <c r="V411" s="49"/>
      <c r="W411" s="49"/>
      <c r="X411" s="49"/>
      <c r="Y411" s="49"/>
    </row>
    <row r="412" spans="1:25">
      <c r="A412" s="50"/>
      <c r="B412" s="522" t="s">
        <v>207</v>
      </c>
      <c r="C412" s="523"/>
      <c r="D412" s="524"/>
      <c r="E412" s="53"/>
      <c r="F412" s="49"/>
      <c r="G412" s="55"/>
      <c r="H412" s="178"/>
      <c r="I412" s="178"/>
      <c r="J412" s="178"/>
      <c r="K412" s="56"/>
      <c r="L412" s="49"/>
      <c r="M412" s="60"/>
      <c r="N412" s="179"/>
      <c r="O412" s="179"/>
      <c r="P412" s="179"/>
      <c r="Q412" s="61"/>
      <c r="R412" s="49"/>
      <c r="S412" s="49"/>
      <c r="T412" s="49"/>
      <c r="U412" s="49"/>
      <c r="V412" s="49"/>
      <c r="W412" s="49"/>
      <c r="X412" s="49"/>
      <c r="Y412" s="49"/>
    </row>
    <row r="413" spans="1:25">
      <c r="A413" s="50"/>
      <c r="B413" s="290" t="s">
        <v>106</v>
      </c>
      <c r="C413" s="180" t="s">
        <v>27</v>
      </c>
      <c r="D413" s="291"/>
      <c r="E413" s="53"/>
      <c r="F413" s="49"/>
      <c r="G413" s="55"/>
      <c r="H413" s="178"/>
      <c r="I413" s="178"/>
      <c r="J413" s="178"/>
      <c r="K413" s="56"/>
      <c r="L413" s="49"/>
      <c r="M413" s="60"/>
      <c r="N413" s="179"/>
      <c r="O413" s="179"/>
      <c r="P413" s="179"/>
      <c r="Q413" s="61"/>
      <c r="R413" s="49"/>
      <c r="S413" s="49"/>
      <c r="T413" s="49"/>
      <c r="U413" s="49"/>
      <c r="V413" s="49"/>
      <c r="W413" s="49"/>
      <c r="X413" s="49"/>
      <c r="Y413" s="49"/>
    </row>
    <row r="414" spans="1:25">
      <c r="A414" s="50"/>
      <c r="B414" s="290" t="s">
        <v>108</v>
      </c>
      <c r="C414" s="180" t="s">
        <v>99</v>
      </c>
      <c r="D414" s="291"/>
      <c r="E414" s="53"/>
      <c r="F414" s="49"/>
      <c r="G414" s="55"/>
      <c r="H414" s="178"/>
      <c r="I414" s="178"/>
      <c r="J414" s="178"/>
      <c r="K414" s="56"/>
      <c r="L414" s="49"/>
      <c r="M414" s="60"/>
      <c r="N414" s="179"/>
      <c r="O414" s="179"/>
      <c r="P414" s="179"/>
      <c r="Q414" s="61"/>
      <c r="R414" s="49"/>
      <c r="S414" s="49"/>
      <c r="T414" s="49"/>
      <c r="U414" s="49"/>
      <c r="V414" s="49"/>
      <c r="W414" s="49"/>
      <c r="X414" s="49"/>
      <c r="Y414" s="49"/>
    </row>
    <row r="415" spans="1:25">
      <c r="A415" s="50"/>
      <c r="B415" s="290" t="s">
        <v>48</v>
      </c>
      <c r="C415" s="180" t="s">
        <v>25</v>
      </c>
      <c r="D415" s="292"/>
      <c r="E415" s="53"/>
      <c r="F415" s="49"/>
      <c r="G415" s="55"/>
      <c r="H415" s="178"/>
      <c r="I415" s="178"/>
      <c r="J415" s="178"/>
      <c r="K415" s="56"/>
      <c r="L415" s="49"/>
      <c r="M415" s="60"/>
      <c r="N415" s="179"/>
      <c r="O415" s="179"/>
      <c r="P415" s="179"/>
      <c r="Q415" s="61"/>
      <c r="R415" s="49"/>
      <c r="S415" s="49"/>
      <c r="T415" s="49"/>
      <c r="U415" s="49"/>
      <c r="V415" s="49"/>
      <c r="W415" s="49"/>
      <c r="X415" s="49"/>
      <c r="Y415" s="49"/>
    </row>
    <row r="416" spans="1:25">
      <c r="A416" s="50"/>
      <c r="B416" s="290" t="s">
        <v>49</v>
      </c>
      <c r="C416" s="181">
        <v>45729</v>
      </c>
      <c r="D416" s="292"/>
      <c r="E416" s="53"/>
      <c r="F416" s="49"/>
      <c r="G416" s="55"/>
      <c r="H416" s="178"/>
      <c r="I416" s="178"/>
      <c r="J416" s="178"/>
      <c r="K416" s="56"/>
      <c r="L416" s="49"/>
      <c r="M416" s="60"/>
      <c r="N416" s="179"/>
      <c r="O416" s="179"/>
      <c r="P416" s="179"/>
      <c r="Q416" s="61"/>
      <c r="R416" s="49"/>
      <c r="S416" s="49"/>
      <c r="T416" s="49"/>
      <c r="U416" s="49"/>
      <c r="V416" s="49"/>
      <c r="W416" s="49"/>
      <c r="X416" s="49"/>
      <c r="Y416" s="49"/>
    </row>
    <row r="417" spans="1:25">
      <c r="A417" s="50"/>
      <c r="B417" s="293" t="s">
        <v>50</v>
      </c>
      <c r="C417" s="294">
        <v>45729</v>
      </c>
      <c r="D417" s="295"/>
      <c r="E417" s="53"/>
      <c r="F417" s="49"/>
      <c r="G417" s="55"/>
      <c r="H417" s="178"/>
      <c r="I417" s="178"/>
      <c r="J417" s="178"/>
      <c r="K417" s="56"/>
      <c r="L417" s="49"/>
      <c r="M417" s="60"/>
      <c r="N417" s="179"/>
      <c r="O417" s="179"/>
      <c r="P417" s="179"/>
      <c r="Q417" s="61"/>
      <c r="R417" s="49"/>
      <c r="S417" s="49"/>
      <c r="T417" s="49"/>
      <c r="U417" s="49"/>
      <c r="V417" s="49"/>
      <c r="W417" s="49"/>
      <c r="X417" s="49"/>
      <c r="Y417" s="49"/>
    </row>
    <row r="418" spans="1:25">
      <c r="A418" s="50"/>
      <c r="B418" s="177"/>
      <c r="C418" s="177"/>
      <c r="D418" s="177"/>
      <c r="E418" s="53"/>
      <c r="F418" s="49"/>
      <c r="G418" s="55"/>
      <c r="H418" s="178"/>
      <c r="I418" s="178"/>
      <c r="J418" s="178"/>
      <c r="K418" s="56"/>
      <c r="L418" s="49"/>
      <c r="M418" s="60"/>
      <c r="N418" s="179"/>
      <c r="O418" s="179"/>
      <c r="P418" s="179"/>
      <c r="Q418" s="61"/>
      <c r="R418" s="49"/>
      <c r="S418" s="49"/>
      <c r="T418" s="49"/>
      <c r="U418" s="49"/>
      <c r="V418" s="49"/>
      <c r="W418" s="49"/>
      <c r="X418" s="49"/>
      <c r="Y418" s="49"/>
    </row>
    <row r="419" spans="1:25">
      <c r="A419" s="50"/>
      <c r="B419" s="522" t="s">
        <v>207</v>
      </c>
      <c r="C419" s="523"/>
      <c r="D419" s="524"/>
      <c r="E419" s="53"/>
      <c r="F419" s="49"/>
      <c r="G419" s="55"/>
      <c r="H419" s="178"/>
      <c r="I419" s="178"/>
      <c r="J419" s="178"/>
      <c r="K419" s="56"/>
      <c r="L419" s="49"/>
      <c r="M419" s="60"/>
      <c r="N419" s="179"/>
      <c r="O419" s="179"/>
      <c r="P419" s="179"/>
      <c r="Q419" s="61"/>
      <c r="R419" s="49"/>
      <c r="S419" s="49"/>
      <c r="T419" s="49"/>
      <c r="U419" s="49"/>
      <c r="V419" s="49"/>
      <c r="W419" s="49"/>
      <c r="X419" s="49"/>
      <c r="Y419" s="49"/>
    </row>
    <row r="420" spans="1:25">
      <c r="A420" s="50"/>
      <c r="B420" s="290" t="s">
        <v>106</v>
      </c>
      <c r="C420" s="180" t="s">
        <v>210</v>
      </c>
      <c r="D420" s="291"/>
      <c r="E420" s="53"/>
      <c r="F420" s="49"/>
      <c r="G420" s="55"/>
      <c r="H420" s="178"/>
      <c r="I420" s="178"/>
      <c r="J420" s="178"/>
      <c r="K420" s="56"/>
      <c r="L420" s="49"/>
      <c r="M420" s="60"/>
      <c r="N420" s="179"/>
      <c r="O420" s="179"/>
      <c r="P420" s="179"/>
      <c r="Q420" s="61"/>
      <c r="R420" s="49"/>
      <c r="S420" s="49"/>
      <c r="T420" s="49"/>
      <c r="U420" s="49"/>
      <c r="V420" s="49"/>
      <c r="W420" s="49"/>
      <c r="X420" s="49"/>
      <c r="Y420" s="49"/>
    </row>
    <row r="421" spans="1:25">
      <c r="A421" s="50"/>
      <c r="B421" s="290" t="s">
        <v>108</v>
      </c>
      <c r="C421" s="180" t="s">
        <v>99</v>
      </c>
      <c r="D421" s="291"/>
      <c r="E421" s="53"/>
      <c r="F421" s="49"/>
      <c r="G421" s="55"/>
      <c r="H421" s="178"/>
      <c r="I421" s="178"/>
      <c r="J421" s="178"/>
      <c r="K421" s="56"/>
      <c r="L421" s="49"/>
      <c r="M421" s="60"/>
      <c r="N421" s="179"/>
      <c r="O421" s="179"/>
      <c r="P421" s="179"/>
      <c r="Q421" s="61"/>
      <c r="R421" s="49"/>
      <c r="S421" s="49"/>
      <c r="T421" s="49"/>
      <c r="U421" s="49"/>
      <c r="V421" s="49"/>
      <c r="W421" s="49"/>
      <c r="X421" s="49"/>
      <c r="Y421" s="49"/>
    </row>
    <row r="422" spans="1:25">
      <c r="A422" s="50"/>
      <c r="B422" s="290" t="s">
        <v>48</v>
      </c>
      <c r="C422" s="180" t="s">
        <v>102</v>
      </c>
      <c r="D422" s="292"/>
      <c r="E422" s="53"/>
      <c r="F422" s="49"/>
      <c r="G422" s="55"/>
      <c r="H422" s="178"/>
      <c r="I422" s="178"/>
      <c r="J422" s="178"/>
      <c r="K422" s="56"/>
      <c r="L422" s="49"/>
      <c r="M422" s="60"/>
      <c r="N422" s="179"/>
      <c r="O422" s="179"/>
      <c r="P422" s="179"/>
      <c r="Q422" s="61"/>
      <c r="R422" s="49"/>
      <c r="S422" s="49"/>
      <c r="T422" s="49"/>
      <c r="U422" s="49"/>
      <c r="V422" s="49"/>
      <c r="W422" s="49"/>
      <c r="X422" s="49"/>
      <c r="Y422" s="49"/>
    </row>
    <row r="423" spans="1:25">
      <c r="A423" s="50"/>
      <c r="B423" s="290" t="s">
        <v>49</v>
      </c>
      <c r="C423" s="181">
        <v>45712</v>
      </c>
      <c r="D423" s="292"/>
      <c r="E423" s="53"/>
      <c r="F423" s="49"/>
      <c r="G423" s="55"/>
      <c r="H423" s="178"/>
      <c r="I423" s="178"/>
      <c r="J423" s="178"/>
      <c r="K423" s="56"/>
      <c r="L423" s="49"/>
      <c r="M423" s="60"/>
      <c r="N423" s="179"/>
      <c r="O423" s="179"/>
      <c r="P423" s="179"/>
      <c r="Q423" s="61"/>
      <c r="R423" s="49"/>
      <c r="S423" s="49"/>
      <c r="T423" s="49"/>
      <c r="U423" s="49"/>
      <c r="V423" s="49"/>
      <c r="W423" s="49"/>
      <c r="X423" s="49"/>
      <c r="Y423" s="49"/>
    </row>
    <row r="424" spans="1:25">
      <c r="A424" s="50"/>
      <c r="B424" s="293" t="s">
        <v>50</v>
      </c>
      <c r="C424" s="294">
        <v>45713</v>
      </c>
      <c r="D424" s="295"/>
      <c r="E424" s="53"/>
      <c r="F424" s="49"/>
      <c r="G424" s="55"/>
      <c r="H424" s="178"/>
      <c r="I424" s="178"/>
      <c r="J424" s="178"/>
      <c r="K424" s="56"/>
      <c r="L424" s="49"/>
      <c r="M424" s="60"/>
      <c r="N424" s="179"/>
      <c r="O424" s="179"/>
      <c r="P424" s="179"/>
      <c r="Q424" s="61"/>
      <c r="R424" s="49"/>
      <c r="S424" s="49"/>
      <c r="T424" s="49"/>
      <c r="U424" s="49"/>
      <c r="V424" s="49"/>
      <c r="W424" s="49"/>
      <c r="X424" s="49"/>
      <c r="Y424" s="49"/>
    </row>
    <row r="425" spans="1:25">
      <c r="A425" s="50"/>
      <c r="B425" s="177"/>
      <c r="C425" s="177"/>
      <c r="D425" s="177"/>
      <c r="E425" s="53"/>
      <c r="F425" s="49"/>
      <c r="G425" s="55"/>
      <c r="H425" s="178"/>
      <c r="I425" s="178"/>
      <c r="J425" s="178"/>
      <c r="K425" s="56"/>
      <c r="L425" s="49"/>
      <c r="M425" s="60"/>
      <c r="N425" s="179"/>
      <c r="O425" s="179"/>
      <c r="P425" s="179"/>
      <c r="Q425" s="61"/>
      <c r="R425" s="49"/>
      <c r="S425" s="49"/>
      <c r="T425" s="49"/>
      <c r="U425" s="49"/>
      <c r="V425" s="49"/>
      <c r="W425" s="49"/>
      <c r="X425" s="49"/>
      <c r="Y425" s="49"/>
    </row>
    <row r="426" spans="1:25">
      <c r="A426" s="50"/>
      <c r="B426" s="522" t="s">
        <v>207</v>
      </c>
      <c r="C426" s="523"/>
      <c r="D426" s="524"/>
      <c r="E426" s="53"/>
      <c r="F426" s="49"/>
      <c r="G426" s="55"/>
      <c r="H426" s="178"/>
      <c r="I426" s="178"/>
      <c r="J426" s="178"/>
      <c r="K426" s="56"/>
      <c r="L426" s="49"/>
      <c r="M426" s="60"/>
      <c r="N426" s="179"/>
      <c r="O426" s="179"/>
      <c r="P426" s="179"/>
      <c r="Q426" s="61"/>
      <c r="R426" s="49"/>
      <c r="S426" s="49"/>
      <c r="T426" s="49"/>
      <c r="U426" s="49"/>
      <c r="V426" s="49"/>
      <c r="W426" s="49"/>
      <c r="X426" s="49"/>
      <c r="Y426" s="49"/>
    </row>
    <row r="427" spans="1:25">
      <c r="A427" s="50"/>
      <c r="B427" s="290" t="s">
        <v>106</v>
      </c>
      <c r="C427" s="180" t="s">
        <v>214</v>
      </c>
      <c r="D427" s="291"/>
      <c r="E427" s="53"/>
      <c r="F427" s="49"/>
      <c r="G427" s="55"/>
      <c r="H427" s="178"/>
      <c r="I427" s="178"/>
      <c r="J427" s="178"/>
      <c r="K427" s="56"/>
      <c r="L427" s="49"/>
      <c r="M427" s="60"/>
      <c r="N427" s="179"/>
      <c r="O427" s="179"/>
      <c r="P427" s="179"/>
      <c r="Q427" s="61"/>
      <c r="R427" s="49"/>
      <c r="S427" s="49"/>
      <c r="T427" s="49"/>
      <c r="U427" s="49"/>
      <c r="V427" s="49"/>
      <c r="W427" s="49"/>
      <c r="X427" s="49"/>
      <c r="Y427" s="49"/>
    </row>
    <row r="428" spans="1:25">
      <c r="A428" s="50"/>
      <c r="B428" s="290" t="s">
        <v>108</v>
      </c>
      <c r="C428" s="180" t="s">
        <v>99</v>
      </c>
      <c r="D428" s="291"/>
      <c r="E428" s="53"/>
      <c r="F428" s="49"/>
      <c r="G428" s="55"/>
      <c r="H428" s="178"/>
      <c r="I428" s="178"/>
      <c r="J428" s="178"/>
      <c r="K428" s="56"/>
      <c r="L428" s="49"/>
      <c r="M428" s="60"/>
      <c r="N428" s="179"/>
      <c r="O428" s="179"/>
      <c r="P428" s="179"/>
      <c r="Q428" s="61"/>
      <c r="R428" s="49"/>
      <c r="S428" s="49"/>
      <c r="T428" s="49"/>
      <c r="U428" s="49"/>
      <c r="V428" s="49"/>
      <c r="W428" s="49"/>
      <c r="X428" s="49"/>
      <c r="Y428" s="49"/>
    </row>
    <row r="429" spans="1:25">
      <c r="A429" s="50"/>
      <c r="B429" s="290" t="s">
        <v>48</v>
      </c>
      <c r="C429" s="180" t="s">
        <v>39</v>
      </c>
      <c r="D429" s="292"/>
      <c r="E429" s="53"/>
      <c r="F429" s="49"/>
      <c r="G429" s="55"/>
      <c r="H429" s="178"/>
      <c r="I429" s="178"/>
      <c r="J429" s="178"/>
      <c r="K429" s="56"/>
      <c r="L429" s="49"/>
      <c r="M429" s="60"/>
      <c r="N429" s="179"/>
      <c r="O429" s="179"/>
      <c r="P429" s="179"/>
      <c r="Q429" s="61"/>
      <c r="R429" s="49"/>
      <c r="S429" s="49"/>
      <c r="T429" s="49"/>
      <c r="U429" s="49"/>
      <c r="V429" s="49"/>
      <c r="W429" s="49"/>
      <c r="X429" s="49"/>
      <c r="Y429" s="49"/>
    </row>
    <row r="430" spans="1:25">
      <c r="A430" s="50"/>
      <c r="B430" s="290" t="s">
        <v>49</v>
      </c>
      <c r="C430" s="181">
        <v>45714</v>
      </c>
      <c r="D430" s="292"/>
      <c r="E430" s="53"/>
      <c r="F430" s="49"/>
      <c r="G430" s="55"/>
      <c r="H430" s="178"/>
      <c r="I430" s="178"/>
      <c r="J430" s="178"/>
      <c r="K430" s="56"/>
      <c r="L430" s="49"/>
      <c r="M430" s="60"/>
      <c r="N430" s="179"/>
      <c r="O430" s="179"/>
      <c r="P430" s="179"/>
      <c r="Q430" s="61"/>
      <c r="R430" s="49"/>
      <c r="S430" s="49"/>
      <c r="T430" s="49"/>
      <c r="U430" s="49"/>
      <c r="V430" s="49"/>
      <c r="W430" s="49"/>
      <c r="X430" s="49"/>
      <c r="Y430" s="49"/>
    </row>
    <row r="431" spans="1:25">
      <c r="A431" s="50"/>
      <c r="B431" s="293" t="s">
        <v>50</v>
      </c>
      <c r="C431" s="294">
        <v>45721</v>
      </c>
      <c r="D431" s="295"/>
      <c r="E431" s="53"/>
      <c r="F431" s="49"/>
      <c r="G431" s="55"/>
      <c r="H431" s="178"/>
      <c r="I431" s="178"/>
      <c r="J431" s="178"/>
      <c r="K431" s="56"/>
      <c r="L431" s="49"/>
      <c r="M431" s="60"/>
      <c r="N431" s="179"/>
      <c r="O431" s="179"/>
      <c r="P431" s="179"/>
      <c r="Q431" s="61"/>
      <c r="R431" s="49"/>
      <c r="S431" s="49"/>
      <c r="T431" s="49"/>
      <c r="U431" s="49"/>
      <c r="V431" s="49"/>
      <c r="W431" s="49"/>
      <c r="X431" s="49"/>
      <c r="Y431" s="49"/>
    </row>
    <row r="432" spans="1:25">
      <c r="A432" s="50"/>
      <c r="B432" s="177"/>
      <c r="C432" s="177"/>
      <c r="D432" s="177"/>
      <c r="E432" s="53"/>
      <c r="F432" s="49"/>
      <c r="G432" s="55"/>
      <c r="H432" s="178"/>
      <c r="I432" s="178"/>
      <c r="J432" s="178"/>
      <c r="K432" s="56"/>
      <c r="L432" s="49"/>
      <c r="M432" s="60"/>
      <c r="N432" s="179"/>
      <c r="O432" s="179"/>
      <c r="P432" s="179"/>
      <c r="Q432" s="61"/>
      <c r="R432" s="49"/>
      <c r="S432" s="49"/>
      <c r="T432" s="49"/>
      <c r="U432" s="49"/>
      <c r="V432" s="49"/>
      <c r="W432" s="49"/>
      <c r="X432" s="49"/>
      <c r="Y432" s="49"/>
    </row>
    <row r="433" spans="1:25">
      <c r="A433" s="50"/>
      <c r="B433" s="177"/>
      <c r="C433" s="177"/>
      <c r="D433" s="177"/>
      <c r="E433" s="53"/>
      <c r="F433" s="49"/>
      <c r="G433" s="55"/>
      <c r="H433" s="178"/>
      <c r="I433" s="178"/>
      <c r="J433" s="178"/>
      <c r="K433" s="56"/>
      <c r="L433" s="49"/>
      <c r="M433" s="60"/>
      <c r="N433" s="179"/>
      <c r="O433" s="179"/>
      <c r="P433" s="179"/>
      <c r="Q433" s="61"/>
      <c r="R433" s="49"/>
      <c r="S433" s="49"/>
      <c r="T433" s="49"/>
      <c r="U433" s="49"/>
      <c r="V433" s="49"/>
      <c r="W433" s="49"/>
      <c r="X433" s="49"/>
      <c r="Y433" s="49"/>
    </row>
    <row r="434" spans="1:25">
      <c r="A434" s="50"/>
      <c r="B434" s="177"/>
      <c r="C434" s="177"/>
      <c r="D434" s="177"/>
      <c r="E434" s="53"/>
      <c r="F434" s="49"/>
      <c r="G434" s="55"/>
      <c r="H434" s="178"/>
      <c r="I434" s="178"/>
      <c r="J434" s="178"/>
      <c r="K434" s="56"/>
      <c r="L434" s="49"/>
      <c r="M434" s="60"/>
      <c r="N434" s="179"/>
      <c r="O434" s="179"/>
      <c r="P434" s="179"/>
      <c r="Q434" s="61"/>
      <c r="R434" s="49"/>
      <c r="S434" s="49"/>
      <c r="T434" s="49"/>
      <c r="U434" s="49"/>
      <c r="V434" s="49"/>
      <c r="W434" s="49"/>
      <c r="X434" s="49"/>
      <c r="Y434" s="49"/>
    </row>
    <row r="435" spans="1:25">
      <c r="A435" s="50"/>
      <c r="B435" s="177"/>
      <c r="C435" s="177"/>
      <c r="D435" s="177"/>
      <c r="E435" s="53"/>
      <c r="F435" s="49"/>
      <c r="G435" s="55"/>
      <c r="H435" s="178"/>
      <c r="I435" s="178"/>
      <c r="J435" s="178"/>
      <c r="K435" s="56"/>
      <c r="L435" s="49"/>
      <c r="M435" s="60"/>
      <c r="N435" s="179"/>
      <c r="O435" s="179"/>
      <c r="P435" s="179"/>
      <c r="Q435" s="61"/>
      <c r="R435" s="49"/>
      <c r="S435" s="49"/>
      <c r="T435" s="49"/>
      <c r="U435" s="49"/>
      <c r="V435" s="49"/>
      <c r="W435" s="49"/>
      <c r="X435" s="49"/>
      <c r="Y435" s="49"/>
    </row>
    <row r="436" spans="1:25">
      <c r="A436" s="50"/>
      <c r="B436" s="177"/>
      <c r="C436" s="177"/>
      <c r="D436" s="177"/>
      <c r="E436" s="53"/>
      <c r="F436" s="49"/>
      <c r="G436" s="55"/>
      <c r="H436" s="178"/>
      <c r="I436" s="178"/>
      <c r="J436" s="178"/>
      <c r="K436" s="56"/>
      <c r="L436" s="49"/>
      <c r="M436" s="60"/>
      <c r="N436" s="179"/>
      <c r="O436" s="179"/>
      <c r="P436" s="179"/>
      <c r="Q436" s="61"/>
      <c r="R436" s="49"/>
      <c r="S436" s="49"/>
      <c r="T436" s="49"/>
      <c r="U436" s="49"/>
      <c r="V436" s="49"/>
      <c r="W436" s="49"/>
      <c r="X436" s="49"/>
      <c r="Y436" s="49"/>
    </row>
    <row r="437" spans="1:25">
      <c r="A437" s="50"/>
      <c r="B437" s="177"/>
      <c r="C437" s="177"/>
      <c r="D437" s="177"/>
      <c r="E437" s="53"/>
      <c r="F437" s="49"/>
      <c r="G437" s="55"/>
      <c r="H437" s="178"/>
      <c r="I437" s="178"/>
      <c r="J437" s="178"/>
      <c r="K437" s="56"/>
      <c r="L437" s="49"/>
      <c r="M437" s="60"/>
      <c r="N437" s="179"/>
      <c r="O437" s="179"/>
      <c r="P437" s="179"/>
      <c r="Q437" s="61"/>
      <c r="R437" s="49"/>
      <c r="S437" s="49"/>
      <c r="T437" s="49"/>
      <c r="U437" s="49"/>
      <c r="V437" s="49"/>
      <c r="W437" s="49"/>
      <c r="X437" s="49"/>
      <c r="Y437" s="49"/>
    </row>
    <row r="438" spans="1:25">
      <c r="A438" s="50"/>
      <c r="B438" s="177"/>
      <c r="C438" s="177"/>
      <c r="D438" s="177"/>
      <c r="E438" s="53"/>
      <c r="F438" s="49"/>
      <c r="G438" s="55"/>
      <c r="H438" s="178"/>
      <c r="I438" s="178"/>
      <c r="J438" s="178"/>
      <c r="K438" s="56"/>
      <c r="L438" s="49"/>
      <c r="M438" s="60"/>
      <c r="N438" s="179"/>
      <c r="O438" s="179"/>
      <c r="P438" s="179"/>
      <c r="Q438" s="61"/>
      <c r="R438" s="49"/>
      <c r="S438" s="49"/>
      <c r="T438" s="49"/>
      <c r="U438" s="49"/>
      <c r="V438" s="49"/>
      <c r="W438" s="49"/>
      <c r="X438" s="49"/>
      <c r="Y438" s="49"/>
    </row>
    <row r="439" spans="1:25">
      <c r="A439" s="50"/>
      <c r="B439" s="177"/>
      <c r="C439" s="177"/>
      <c r="D439" s="177"/>
      <c r="E439" s="53"/>
      <c r="F439" s="49"/>
      <c r="G439" s="55"/>
      <c r="H439" s="178"/>
      <c r="I439" s="178"/>
      <c r="J439" s="178"/>
      <c r="K439" s="56"/>
      <c r="L439" s="49"/>
      <c r="M439" s="60"/>
      <c r="N439" s="179"/>
      <c r="O439" s="179"/>
      <c r="P439" s="179"/>
      <c r="Q439" s="61"/>
      <c r="R439" s="49"/>
      <c r="S439" s="49"/>
      <c r="T439" s="49"/>
      <c r="U439" s="49"/>
      <c r="V439" s="49"/>
      <c r="W439" s="49"/>
      <c r="X439" s="49"/>
      <c r="Y439" s="49"/>
    </row>
    <row r="440" spans="1:25">
      <c r="A440" s="50"/>
      <c r="B440" s="177"/>
      <c r="C440" s="177"/>
      <c r="D440" s="177"/>
      <c r="E440" s="53"/>
      <c r="F440" s="49"/>
      <c r="G440" s="55"/>
      <c r="H440" s="178"/>
      <c r="I440" s="178"/>
      <c r="J440" s="178"/>
      <c r="K440" s="56"/>
      <c r="L440" s="49"/>
      <c r="M440" s="60"/>
      <c r="N440" s="179"/>
      <c r="O440" s="179"/>
      <c r="P440" s="179"/>
      <c r="Q440" s="61"/>
      <c r="R440" s="49"/>
      <c r="S440" s="49"/>
      <c r="T440" s="49"/>
      <c r="U440" s="49"/>
      <c r="V440" s="49"/>
      <c r="W440" s="49"/>
      <c r="X440" s="49"/>
      <c r="Y440" s="49"/>
    </row>
    <row r="441" spans="1:25">
      <c r="A441" s="50"/>
      <c r="B441" s="177"/>
      <c r="C441" s="177"/>
      <c r="D441" s="177"/>
      <c r="E441" s="53"/>
      <c r="F441" s="49"/>
      <c r="G441" s="55"/>
      <c r="H441" s="178"/>
      <c r="I441" s="178"/>
      <c r="J441" s="178"/>
      <c r="K441" s="56"/>
      <c r="L441" s="49"/>
      <c r="M441" s="60"/>
      <c r="N441" s="179"/>
      <c r="O441" s="179"/>
      <c r="P441" s="179"/>
      <c r="Q441" s="61"/>
      <c r="R441" s="49"/>
      <c r="S441" s="49"/>
      <c r="T441" s="49"/>
      <c r="U441" s="49"/>
      <c r="V441" s="49"/>
      <c r="W441" s="49"/>
      <c r="X441" s="49"/>
      <c r="Y441" s="49"/>
    </row>
    <row r="442" spans="1:25">
      <c r="A442" s="50"/>
      <c r="B442" s="177"/>
      <c r="C442" s="177"/>
      <c r="D442" s="177"/>
      <c r="E442" s="53"/>
      <c r="F442" s="49"/>
      <c r="G442" s="55"/>
      <c r="H442" s="178"/>
      <c r="I442" s="178"/>
      <c r="J442" s="178"/>
      <c r="K442" s="56"/>
      <c r="L442" s="49"/>
      <c r="M442" s="60"/>
      <c r="N442" s="179"/>
      <c r="O442" s="179"/>
      <c r="P442" s="179"/>
      <c r="Q442" s="61"/>
      <c r="R442" s="49"/>
      <c r="S442" s="49"/>
      <c r="T442" s="49"/>
      <c r="U442" s="49"/>
      <c r="V442" s="49"/>
      <c r="W442" s="49"/>
      <c r="X442" s="49"/>
      <c r="Y442" s="49"/>
    </row>
    <row r="443" spans="1:25">
      <c r="A443" s="50"/>
      <c r="B443" s="177"/>
      <c r="C443" s="177"/>
      <c r="D443" s="177"/>
      <c r="E443" s="53"/>
      <c r="F443" s="49"/>
      <c r="G443" s="55"/>
      <c r="H443" s="178"/>
      <c r="I443" s="178"/>
      <c r="J443" s="178"/>
      <c r="K443" s="56"/>
      <c r="L443" s="49"/>
      <c r="M443" s="60"/>
      <c r="N443" s="179"/>
      <c r="O443" s="179"/>
      <c r="P443" s="179"/>
      <c r="Q443" s="61"/>
      <c r="R443" s="49"/>
      <c r="S443" s="49"/>
      <c r="T443" s="49"/>
      <c r="U443" s="49"/>
      <c r="V443" s="49"/>
      <c r="W443" s="49"/>
      <c r="X443" s="49"/>
      <c r="Y443" s="49"/>
    </row>
    <row r="444" spans="1:25">
      <c r="A444" s="50"/>
      <c r="B444" s="177"/>
      <c r="C444" s="177"/>
      <c r="D444" s="177"/>
      <c r="E444" s="53"/>
      <c r="F444" s="49"/>
      <c r="G444" s="55"/>
      <c r="H444" s="178"/>
      <c r="I444" s="178"/>
      <c r="J444" s="178"/>
      <c r="K444" s="56"/>
      <c r="L444" s="49"/>
      <c r="M444" s="60"/>
      <c r="N444" s="179"/>
      <c r="O444" s="179"/>
      <c r="P444" s="179"/>
      <c r="Q444" s="61"/>
      <c r="R444" s="49"/>
      <c r="S444" s="49"/>
      <c r="T444" s="49"/>
      <c r="U444" s="49"/>
      <c r="V444" s="49"/>
      <c r="W444" s="49"/>
      <c r="X444" s="49"/>
      <c r="Y444" s="49"/>
    </row>
    <row r="445" spans="1:25">
      <c r="A445" s="50"/>
      <c r="B445" s="177"/>
      <c r="C445" s="177"/>
      <c r="D445" s="177"/>
      <c r="E445" s="53"/>
      <c r="F445" s="49"/>
      <c r="G445" s="55"/>
      <c r="H445" s="178"/>
      <c r="I445" s="178"/>
      <c r="J445" s="178"/>
      <c r="K445" s="56"/>
      <c r="L445" s="49"/>
      <c r="M445" s="60"/>
      <c r="N445" s="179"/>
      <c r="O445" s="179"/>
      <c r="P445" s="179"/>
      <c r="Q445" s="61"/>
      <c r="R445" s="49"/>
      <c r="S445" s="49"/>
      <c r="T445" s="49"/>
      <c r="U445" s="49"/>
      <c r="V445" s="49"/>
      <c r="W445" s="49"/>
      <c r="X445" s="49"/>
      <c r="Y445" s="49"/>
    </row>
    <row r="446" spans="1:25">
      <c r="A446" s="50"/>
      <c r="B446" s="177"/>
      <c r="C446" s="177"/>
      <c r="D446" s="177"/>
      <c r="E446" s="53"/>
      <c r="F446" s="49"/>
      <c r="G446" s="55"/>
      <c r="H446" s="178"/>
      <c r="I446" s="178"/>
      <c r="J446" s="178"/>
      <c r="K446" s="56"/>
      <c r="L446" s="49"/>
      <c r="M446" s="60"/>
      <c r="N446" s="179"/>
      <c r="O446" s="179"/>
      <c r="P446" s="179"/>
      <c r="Q446" s="61"/>
      <c r="R446" s="49"/>
      <c r="S446" s="49"/>
      <c r="T446" s="49"/>
      <c r="U446" s="49"/>
      <c r="V446" s="49"/>
      <c r="W446" s="49"/>
      <c r="X446" s="49"/>
      <c r="Y446" s="49"/>
    </row>
    <row r="447" spans="1:25">
      <c r="A447" s="50"/>
      <c r="B447" s="177"/>
      <c r="C447" s="177"/>
      <c r="D447" s="177"/>
      <c r="E447" s="53"/>
      <c r="F447" s="49"/>
      <c r="G447" s="55"/>
      <c r="H447" s="178"/>
      <c r="I447" s="178"/>
      <c r="J447" s="178"/>
      <c r="K447" s="56"/>
      <c r="L447" s="49"/>
      <c r="M447" s="60"/>
      <c r="N447" s="179"/>
      <c r="O447" s="179"/>
      <c r="P447" s="179"/>
      <c r="Q447" s="61"/>
      <c r="R447" s="49"/>
      <c r="S447" s="49"/>
      <c r="T447" s="49"/>
      <c r="U447" s="49"/>
      <c r="V447" s="49"/>
      <c r="W447" s="49"/>
      <c r="X447" s="49"/>
      <c r="Y447" s="49"/>
    </row>
    <row r="448" spans="1:25">
      <c r="A448" s="50"/>
      <c r="B448" s="177"/>
      <c r="C448" s="177"/>
      <c r="D448" s="177"/>
      <c r="E448" s="53"/>
      <c r="F448" s="49"/>
      <c r="G448" s="55"/>
      <c r="H448" s="178"/>
      <c r="I448" s="178"/>
      <c r="J448" s="178"/>
      <c r="K448" s="56"/>
      <c r="L448" s="49"/>
      <c r="M448" s="60"/>
      <c r="N448" s="179"/>
      <c r="O448" s="179"/>
      <c r="P448" s="179"/>
      <c r="Q448" s="61"/>
      <c r="R448" s="49"/>
      <c r="S448" s="49"/>
      <c r="T448" s="49"/>
      <c r="U448" s="49"/>
      <c r="V448" s="49"/>
      <c r="W448" s="49"/>
      <c r="X448" s="49"/>
      <c r="Y448" s="49"/>
    </row>
    <row r="449" spans="1:25">
      <c r="A449" s="50"/>
      <c r="B449" s="177"/>
      <c r="C449" s="177"/>
      <c r="D449" s="177"/>
      <c r="E449" s="53"/>
      <c r="F449" s="49"/>
      <c r="G449" s="55"/>
      <c r="H449" s="178"/>
      <c r="I449" s="178"/>
      <c r="J449" s="178"/>
      <c r="K449" s="56"/>
      <c r="L449" s="49"/>
      <c r="M449" s="60"/>
      <c r="N449" s="179"/>
      <c r="O449" s="179"/>
      <c r="P449" s="179"/>
      <c r="Q449" s="61"/>
      <c r="R449" s="49"/>
      <c r="S449" s="49"/>
      <c r="T449" s="49"/>
      <c r="U449" s="49"/>
      <c r="V449" s="49"/>
      <c r="W449" s="49"/>
      <c r="X449" s="49"/>
      <c r="Y449" s="49"/>
    </row>
    <row r="450" spans="1:25">
      <c r="A450" s="50"/>
      <c r="B450" s="177"/>
      <c r="C450" s="177"/>
      <c r="D450" s="177"/>
      <c r="E450" s="53"/>
      <c r="F450" s="49"/>
      <c r="G450" s="55"/>
      <c r="H450" s="178"/>
      <c r="I450" s="178"/>
      <c r="J450" s="178"/>
      <c r="K450" s="56"/>
      <c r="L450" s="49"/>
      <c r="M450" s="60"/>
      <c r="N450" s="179"/>
      <c r="O450" s="179"/>
      <c r="P450" s="179"/>
      <c r="Q450" s="61"/>
      <c r="R450" s="49"/>
      <c r="S450" s="49"/>
      <c r="T450" s="49"/>
      <c r="U450" s="49"/>
      <c r="V450" s="49"/>
      <c r="W450" s="49"/>
      <c r="X450" s="49"/>
      <c r="Y450" s="49"/>
    </row>
    <row r="451" spans="1:25">
      <c r="A451" s="50"/>
      <c r="B451" s="177"/>
      <c r="C451" s="177"/>
      <c r="D451" s="177"/>
      <c r="E451" s="53"/>
      <c r="F451" s="49"/>
      <c r="G451" s="55"/>
      <c r="H451" s="178"/>
      <c r="I451" s="178"/>
      <c r="J451" s="178"/>
      <c r="K451" s="56"/>
      <c r="L451" s="49"/>
      <c r="M451" s="60"/>
      <c r="N451" s="179"/>
      <c r="O451" s="179"/>
      <c r="P451" s="179"/>
      <c r="Q451" s="61"/>
      <c r="R451" s="49"/>
      <c r="S451" s="49"/>
      <c r="T451" s="49"/>
      <c r="U451" s="49"/>
      <c r="V451" s="49"/>
      <c r="W451" s="49"/>
      <c r="X451" s="49"/>
      <c r="Y451" s="49"/>
    </row>
    <row r="452" spans="1:25">
      <c r="A452" s="50"/>
      <c r="B452" s="177"/>
      <c r="C452" s="177"/>
      <c r="D452" s="177"/>
      <c r="E452" s="53"/>
      <c r="F452" s="49"/>
      <c r="G452" s="55"/>
      <c r="H452" s="178"/>
      <c r="I452" s="178"/>
      <c r="J452" s="178"/>
      <c r="K452" s="56"/>
      <c r="L452" s="49"/>
      <c r="M452" s="60"/>
      <c r="N452" s="179"/>
      <c r="O452" s="179"/>
      <c r="P452" s="179"/>
      <c r="Q452" s="61"/>
      <c r="R452" s="49"/>
      <c r="S452" s="49"/>
      <c r="T452" s="49"/>
      <c r="U452" s="49"/>
      <c r="V452" s="49"/>
      <c r="W452" s="49"/>
      <c r="X452" s="49"/>
      <c r="Y452" s="49"/>
    </row>
    <row r="453" spans="1:25">
      <c r="A453" s="50"/>
      <c r="B453" s="177"/>
      <c r="C453" s="177"/>
      <c r="D453" s="177"/>
      <c r="E453" s="53"/>
      <c r="F453" s="49"/>
      <c r="G453" s="55"/>
      <c r="H453" s="178"/>
      <c r="I453" s="178"/>
      <c r="J453" s="178"/>
      <c r="K453" s="56"/>
      <c r="L453" s="49"/>
      <c r="M453" s="60"/>
      <c r="N453" s="179"/>
      <c r="O453" s="179"/>
      <c r="P453" s="179"/>
      <c r="Q453" s="61"/>
      <c r="R453" s="49"/>
      <c r="S453" s="49"/>
      <c r="T453" s="49"/>
      <c r="U453" s="49"/>
      <c r="V453" s="49"/>
      <c r="W453" s="49"/>
      <c r="X453" s="49"/>
      <c r="Y453" s="49"/>
    </row>
    <row r="454" spans="1:25">
      <c r="A454" s="50"/>
      <c r="B454" s="177"/>
      <c r="C454" s="177"/>
      <c r="D454" s="177"/>
      <c r="E454" s="53"/>
      <c r="F454" s="49"/>
      <c r="G454" s="55"/>
      <c r="H454" s="178"/>
      <c r="I454" s="178"/>
      <c r="J454" s="178"/>
      <c r="K454" s="56"/>
      <c r="L454" s="49"/>
      <c r="M454" s="60"/>
      <c r="N454" s="179"/>
      <c r="O454" s="179"/>
      <c r="P454" s="179"/>
      <c r="Q454" s="61"/>
      <c r="R454" s="49"/>
      <c r="S454" s="49"/>
      <c r="T454" s="49"/>
      <c r="U454" s="49"/>
      <c r="V454" s="49"/>
      <c r="W454" s="49"/>
      <c r="X454" s="49"/>
      <c r="Y454" s="49"/>
    </row>
    <row r="455" spans="1:25">
      <c r="A455" s="50"/>
      <c r="B455" s="177"/>
      <c r="C455" s="177"/>
      <c r="D455" s="177"/>
      <c r="E455" s="53"/>
      <c r="F455" s="49"/>
      <c r="G455" s="55"/>
      <c r="H455" s="178"/>
      <c r="I455" s="178"/>
      <c r="J455" s="178"/>
      <c r="K455" s="56"/>
      <c r="L455" s="49"/>
      <c r="M455" s="60"/>
      <c r="N455" s="179"/>
      <c r="O455" s="179"/>
      <c r="P455" s="179"/>
      <c r="Q455" s="61"/>
      <c r="R455" s="49"/>
      <c r="S455" s="49"/>
      <c r="T455" s="49"/>
      <c r="U455" s="49"/>
      <c r="V455" s="49"/>
      <c r="W455" s="49"/>
      <c r="X455" s="49"/>
      <c r="Y455" s="49"/>
    </row>
    <row r="456" spans="1:25">
      <c r="A456" s="50"/>
      <c r="B456" s="177"/>
      <c r="C456" s="177"/>
      <c r="D456" s="177"/>
      <c r="E456" s="53"/>
      <c r="F456" s="49"/>
      <c r="G456" s="55"/>
      <c r="H456" s="178"/>
      <c r="I456" s="178"/>
      <c r="J456" s="178"/>
      <c r="K456" s="56"/>
      <c r="L456" s="49"/>
      <c r="M456" s="60"/>
      <c r="N456" s="179"/>
      <c r="O456" s="179"/>
      <c r="P456" s="179"/>
      <c r="Q456" s="61"/>
      <c r="R456" s="49"/>
      <c r="S456" s="49"/>
      <c r="T456" s="49"/>
      <c r="U456" s="49"/>
      <c r="V456" s="49"/>
      <c r="W456" s="49"/>
      <c r="X456" s="49"/>
      <c r="Y456" s="49"/>
    </row>
    <row r="457" spans="1:25">
      <c r="A457" s="50"/>
      <c r="B457" s="177"/>
      <c r="C457" s="177"/>
      <c r="D457" s="177"/>
      <c r="E457" s="53"/>
      <c r="F457" s="49"/>
      <c r="G457" s="55"/>
      <c r="H457" s="178"/>
      <c r="I457" s="178"/>
      <c r="J457" s="178"/>
      <c r="K457" s="56"/>
      <c r="L457" s="49"/>
      <c r="M457" s="60"/>
      <c r="N457" s="179"/>
      <c r="O457" s="179"/>
      <c r="P457" s="179"/>
      <c r="Q457" s="61"/>
      <c r="R457" s="49"/>
      <c r="S457" s="49"/>
      <c r="T457" s="49"/>
      <c r="U457" s="49"/>
      <c r="V457" s="49"/>
      <c r="W457" s="49"/>
      <c r="X457" s="49"/>
      <c r="Y457" s="49"/>
    </row>
    <row r="458" spans="1:25">
      <c r="A458" s="50"/>
      <c r="B458" s="177"/>
      <c r="C458" s="177"/>
      <c r="D458" s="177"/>
      <c r="E458" s="53"/>
      <c r="F458" s="49"/>
      <c r="G458" s="55"/>
      <c r="H458" s="178"/>
      <c r="I458" s="178"/>
      <c r="J458" s="178"/>
      <c r="K458" s="56"/>
      <c r="L458" s="49"/>
      <c r="M458" s="60"/>
      <c r="N458" s="179"/>
      <c r="O458" s="179"/>
      <c r="P458" s="179"/>
      <c r="Q458" s="61"/>
      <c r="R458" s="49"/>
      <c r="S458" s="49"/>
      <c r="T458" s="49"/>
      <c r="U458" s="49"/>
      <c r="V458" s="49"/>
      <c r="W458" s="49"/>
      <c r="X458" s="49"/>
      <c r="Y458" s="49"/>
    </row>
    <row r="459" spans="1:25">
      <c r="A459" s="50"/>
      <c r="B459" s="177"/>
      <c r="C459" s="177"/>
      <c r="D459" s="177"/>
      <c r="E459" s="53"/>
      <c r="F459" s="49"/>
      <c r="G459" s="55"/>
      <c r="H459" s="178"/>
      <c r="I459" s="178"/>
      <c r="J459" s="178"/>
      <c r="K459" s="56"/>
      <c r="L459" s="49"/>
      <c r="M459" s="60"/>
      <c r="N459" s="179"/>
      <c r="O459" s="179"/>
      <c r="P459" s="179"/>
      <c r="Q459" s="61"/>
      <c r="R459" s="49"/>
      <c r="S459" s="49"/>
      <c r="T459" s="49"/>
      <c r="U459" s="49"/>
      <c r="V459" s="49"/>
      <c r="W459" s="49"/>
      <c r="X459" s="49"/>
      <c r="Y459" s="49"/>
    </row>
    <row r="460" spans="1:25">
      <c r="A460" s="50"/>
      <c r="B460" s="177"/>
      <c r="C460" s="177"/>
      <c r="D460" s="177"/>
      <c r="E460" s="53"/>
      <c r="F460" s="49"/>
      <c r="G460" s="55"/>
      <c r="H460" s="178"/>
      <c r="I460" s="178"/>
      <c r="J460" s="178"/>
      <c r="K460" s="56"/>
      <c r="L460" s="49"/>
      <c r="M460" s="60"/>
      <c r="N460" s="179"/>
      <c r="O460" s="179"/>
      <c r="P460" s="179"/>
      <c r="Q460" s="61"/>
      <c r="R460" s="49"/>
      <c r="S460" s="49"/>
      <c r="T460" s="49"/>
      <c r="U460" s="49"/>
      <c r="V460" s="49"/>
      <c r="W460" s="49"/>
      <c r="X460" s="49"/>
      <c r="Y460" s="49"/>
    </row>
    <row r="461" spans="1:25">
      <c r="A461" s="50"/>
      <c r="B461" s="177"/>
      <c r="C461" s="177"/>
      <c r="D461" s="177"/>
      <c r="E461" s="53"/>
      <c r="F461" s="49"/>
      <c r="G461" s="55"/>
      <c r="H461" s="178"/>
      <c r="I461" s="178"/>
      <c r="J461" s="178"/>
      <c r="K461" s="56"/>
      <c r="L461" s="49"/>
      <c r="M461" s="60"/>
      <c r="N461" s="179"/>
      <c r="O461" s="179"/>
      <c r="P461" s="179"/>
      <c r="Q461" s="61"/>
      <c r="R461" s="49"/>
      <c r="S461" s="49"/>
      <c r="T461" s="49"/>
      <c r="U461" s="49"/>
      <c r="V461" s="49"/>
      <c r="W461" s="49"/>
      <c r="X461" s="49"/>
      <c r="Y461" s="49"/>
    </row>
    <row r="462" spans="1:25">
      <c r="A462" s="50"/>
      <c r="B462" s="177"/>
      <c r="C462" s="177"/>
      <c r="D462" s="177"/>
      <c r="E462" s="53"/>
      <c r="F462" s="49"/>
      <c r="G462" s="55"/>
      <c r="H462" s="178"/>
      <c r="I462" s="178"/>
      <c r="J462" s="178"/>
      <c r="K462" s="56"/>
      <c r="L462" s="49"/>
      <c r="M462" s="60"/>
      <c r="N462" s="179"/>
      <c r="O462" s="179"/>
      <c r="P462" s="179"/>
      <c r="Q462" s="61"/>
      <c r="R462" s="49"/>
      <c r="S462" s="49"/>
      <c r="T462" s="49"/>
      <c r="U462" s="49"/>
      <c r="V462" s="49"/>
      <c r="W462" s="49"/>
      <c r="X462" s="49"/>
      <c r="Y462" s="49"/>
    </row>
    <row r="463" spans="1:25">
      <c r="A463" s="50"/>
      <c r="B463" s="177"/>
      <c r="C463" s="177"/>
      <c r="D463" s="177"/>
      <c r="E463" s="53"/>
      <c r="F463" s="49"/>
      <c r="G463" s="55"/>
      <c r="H463" s="178"/>
      <c r="I463" s="178"/>
      <c r="J463" s="178"/>
      <c r="K463" s="56"/>
      <c r="L463" s="49"/>
      <c r="M463" s="60"/>
      <c r="N463" s="179"/>
      <c r="O463" s="179"/>
      <c r="P463" s="179"/>
      <c r="Q463" s="61"/>
      <c r="R463" s="49"/>
      <c r="S463" s="49"/>
      <c r="T463" s="49"/>
      <c r="U463" s="49"/>
      <c r="V463" s="49"/>
      <c r="W463" s="49"/>
      <c r="X463" s="49"/>
      <c r="Y463" s="49"/>
    </row>
    <row r="464" spans="1:25">
      <c r="A464" s="50"/>
      <c r="B464" s="177"/>
      <c r="C464" s="177"/>
      <c r="D464" s="177"/>
      <c r="E464" s="53"/>
      <c r="F464" s="49"/>
      <c r="G464" s="55"/>
      <c r="H464" s="178"/>
      <c r="I464" s="178"/>
      <c r="J464" s="178"/>
      <c r="K464" s="56"/>
      <c r="L464" s="49"/>
      <c r="M464" s="60"/>
      <c r="N464" s="179"/>
      <c r="O464" s="179"/>
      <c r="P464" s="179"/>
      <c r="Q464" s="61"/>
      <c r="R464" s="49"/>
      <c r="S464" s="49"/>
      <c r="T464" s="49"/>
      <c r="U464" s="49"/>
      <c r="V464" s="49"/>
      <c r="W464" s="49"/>
      <c r="X464" s="49"/>
      <c r="Y464" s="49"/>
    </row>
    <row r="465" spans="1:25">
      <c r="A465" s="50"/>
      <c r="B465" s="177"/>
      <c r="C465" s="177"/>
      <c r="D465" s="177"/>
      <c r="E465" s="53"/>
      <c r="F465" s="49"/>
      <c r="G465" s="55"/>
      <c r="H465" s="178"/>
      <c r="I465" s="178"/>
      <c r="J465" s="178"/>
      <c r="K465" s="56"/>
      <c r="L465" s="49"/>
      <c r="M465" s="60"/>
      <c r="N465" s="179"/>
      <c r="O465" s="179"/>
      <c r="P465" s="179"/>
      <c r="Q465" s="61"/>
      <c r="R465" s="49"/>
      <c r="S465" s="49"/>
      <c r="T465" s="49"/>
      <c r="U465" s="49"/>
      <c r="V465" s="49"/>
      <c r="W465" s="49"/>
      <c r="X465" s="49"/>
      <c r="Y465" s="49"/>
    </row>
    <row r="466" spans="1:25">
      <c r="A466" s="50"/>
      <c r="B466" s="177"/>
      <c r="C466" s="177"/>
      <c r="D466" s="177"/>
      <c r="E466" s="53"/>
      <c r="F466" s="49"/>
      <c r="G466" s="55"/>
      <c r="H466" s="178"/>
      <c r="I466" s="178"/>
      <c r="J466" s="178"/>
      <c r="K466" s="56"/>
      <c r="L466" s="49"/>
      <c r="M466" s="60"/>
      <c r="N466" s="179"/>
      <c r="O466" s="179"/>
      <c r="P466" s="179"/>
      <c r="Q466" s="61"/>
      <c r="R466" s="49"/>
      <c r="S466" s="49"/>
      <c r="T466" s="49"/>
      <c r="U466" s="49"/>
      <c r="V466" s="49"/>
      <c r="W466" s="49"/>
      <c r="X466" s="49"/>
      <c r="Y466" s="49"/>
    </row>
    <row r="467" spans="1:25">
      <c r="A467" s="50"/>
      <c r="B467" s="177"/>
      <c r="C467" s="177"/>
      <c r="D467" s="177"/>
      <c r="E467" s="53"/>
      <c r="F467" s="49"/>
      <c r="G467" s="55"/>
      <c r="H467" s="178"/>
      <c r="I467" s="178"/>
      <c r="J467" s="178"/>
      <c r="K467" s="56"/>
      <c r="L467" s="49"/>
      <c r="M467" s="60"/>
      <c r="N467" s="179"/>
      <c r="O467" s="179"/>
      <c r="P467" s="179"/>
      <c r="Q467" s="61"/>
      <c r="R467" s="49"/>
      <c r="S467" s="49"/>
      <c r="T467" s="49"/>
      <c r="U467" s="49"/>
      <c r="V467" s="49"/>
      <c r="W467" s="49"/>
      <c r="X467" s="49"/>
      <c r="Y467" s="49"/>
    </row>
    <row r="468" spans="1:25">
      <c r="A468" s="50"/>
      <c r="B468" s="177"/>
      <c r="C468" s="177"/>
      <c r="D468" s="177"/>
      <c r="E468" s="53"/>
      <c r="F468" s="49"/>
      <c r="G468" s="55"/>
      <c r="H468" s="178"/>
      <c r="I468" s="178"/>
      <c r="J468" s="178"/>
      <c r="K468" s="56"/>
      <c r="L468" s="49"/>
      <c r="M468" s="60"/>
      <c r="N468" s="179"/>
      <c r="O468" s="179"/>
      <c r="P468" s="179"/>
      <c r="Q468" s="61"/>
      <c r="R468" s="49"/>
      <c r="S468" s="49"/>
      <c r="T468" s="49"/>
      <c r="U468" s="49"/>
      <c r="V468" s="49"/>
      <c r="W468" s="49"/>
      <c r="X468" s="49"/>
      <c r="Y468" s="49"/>
    </row>
    <row r="469" spans="1:25">
      <c r="A469" s="50"/>
      <c r="B469" s="177"/>
      <c r="C469" s="177"/>
      <c r="D469" s="177"/>
      <c r="E469" s="53"/>
      <c r="F469" s="49"/>
      <c r="G469" s="55"/>
      <c r="H469" s="178"/>
      <c r="I469" s="178"/>
      <c r="J469" s="178"/>
      <c r="K469" s="56"/>
      <c r="L469" s="49"/>
      <c r="M469" s="60"/>
      <c r="N469" s="179"/>
      <c r="O469" s="179"/>
      <c r="P469" s="179"/>
      <c r="Q469" s="61"/>
      <c r="R469" s="49"/>
      <c r="S469" s="49"/>
      <c r="T469" s="49"/>
      <c r="U469" s="49"/>
      <c r="V469" s="49"/>
      <c r="W469" s="49"/>
      <c r="X469" s="49"/>
      <c r="Y469" s="49"/>
    </row>
    <row r="470" spans="1:25">
      <c r="A470" s="50"/>
      <c r="B470" s="177"/>
      <c r="C470" s="177"/>
      <c r="D470" s="177"/>
      <c r="E470" s="53"/>
      <c r="F470" s="49"/>
      <c r="G470" s="55"/>
      <c r="H470" s="178"/>
      <c r="I470" s="178"/>
      <c r="J470" s="178"/>
      <c r="K470" s="56"/>
      <c r="L470" s="49"/>
      <c r="M470" s="60"/>
      <c r="N470" s="179"/>
      <c r="O470" s="179"/>
      <c r="P470" s="179"/>
      <c r="Q470" s="61"/>
      <c r="R470" s="49"/>
      <c r="S470" s="49"/>
      <c r="T470" s="49"/>
      <c r="U470" s="49"/>
      <c r="V470" s="49"/>
      <c r="W470" s="49"/>
      <c r="X470" s="49"/>
      <c r="Y470" s="49"/>
    </row>
    <row r="471" spans="1:25">
      <c r="A471" s="50"/>
      <c r="B471" s="177"/>
      <c r="C471" s="177"/>
      <c r="D471" s="177"/>
      <c r="E471" s="53"/>
      <c r="F471" s="49"/>
      <c r="G471" s="55"/>
      <c r="H471" s="178"/>
      <c r="I471" s="178"/>
      <c r="J471" s="178"/>
      <c r="K471" s="56"/>
      <c r="L471" s="49"/>
      <c r="M471" s="60"/>
      <c r="N471" s="179"/>
      <c r="O471" s="179"/>
      <c r="P471" s="179"/>
      <c r="Q471" s="61"/>
      <c r="R471" s="49"/>
      <c r="S471" s="49"/>
      <c r="T471" s="49"/>
      <c r="U471" s="49"/>
      <c r="V471" s="49"/>
      <c r="W471" s="49"/>
      <c r="X471" s="49"/>
      <c r="Y471" s="49"/>
    </row>
    <row r="472" spans="1:25">
      <c r="A472" s="50"/>
      <c r="B472" s="177"/>
      <c r="C472" s="177"/>
      <c r="D472" s="177"/>
      <c r="E472" s="53"/>
      <c r="F472" s="49"/>
      <c r="G472" s="55"/>
      <c r="H472" s="178"/>
      <c r="I472" s="178"/>
      <c r="J472" s="178"/>
      <c r="K472" s="56"/>
      <c r="L472" s="49"/>
      <c r="M472" s="60"/>
      <c r="N472" s="179"/>
      <c r="O472" s="179"/>
      <c r="P472" s="179"/>
      <c r="Q472" s="61"/>
      <c r="R472" s="49"/>
      <c r="S472" s="49"/>
      <c r="T472" s="49"/>
      <c r="U472" s="49"/>
      <c r="V472" s="49"/>
      <c r="W472" s="49"/>
      <c r="X472" s="49"/>
      <c r="Y472" s="49"/>
    </row>
    <row r="473" spans="1:25">
      <c r="A473" s="50"/>
      <c r="B473" s="177"/>
      <c r="C473" s="177"/>
      <c r="D473" s="177"/>
      <c r="E473" s="53"/>
      <c r="F473" s="49"/>
      <c r="G473" s="55"/>
      <c r="H473" s="178"/>
      <c r="I473" s="178"/>
      <c r="J473" s="178"/>
      <c r="K473" s="56"/>
      <c r="L473" s="49"/>
      <c r="M473" s="60"/>
      <c r="N473" s="179"/>
      <c r="O473" s="179"/>
      <c r="P473" s="179"/>
      <c r="Q473" s="61"/>
      <c r="R473" s="49"/>
      <c r="S473" s="49"/>
      <c r="T473" s="49"/>
      <c r="U473" s="49"/>
      <c r="V473" s="49"/>
      <c r="W473" s="49"/>
      <c r="X473" s="49"/>
      <c r="Y473" s="49"/>
    </row>
    <row r="474" spans="1:25">
      <c r="A474" s="50"/>
      <c r="B474" s="177"/>
      <c r="C474" s="177"/>
      <c r="D474" s="177"/>
      <c r="E474" s="53"/>
      <c r="F474" s="49"/>
      <c r="G474" s="55"/>
      <c r="H474" s="178"/>
      <c r="I474" s="178"/>
      <c r="J474" s="178"/>
      <c r="K474" s="56"/>
      <c r="L474" s="49"/>
      <c r="M474" s="60"/>
      <c r="N474" s="179"/>
      <c r="O474" s="179"/>
      <c r="P474" s="179"/>
      <c r="Q474" s="61"/>
      <c r="R474" s="49"/>
      <c r="S474" s="49"/>
      <c r="T474" s="49"/>
      <c r="U474" s="49"/>
      <c r="V474" s="49"/>
      <c r="W474" s="49"/>
      <c r="X474" s="49"/>
      <c r="Y474" s="49"/>
    </row>
    <row r="475" spans="1:25">
      <c r="A475" s="50"/>
      <c r="B475" s="177"/>
      <c r="C475" s="177"/>
      <c r="D475" s="177"/>
      <c r="E475" s="53"/>
      <c r="F475" s="49"/>
      <c r="G475" s="55"/>
      <c r="H475" s="178"/>
      <c r="I475" s="178"/>
      <c r="J475" s="178"/>
      <c r="K475" s="56"/>
      <c r="L475" s="49"/>
      <c r="M475" s="60"/>
      <c r="N475" s="179"/>
      <c r="O475" s="179"/>
      <c r="P475" s="179"/>
      <c r="Q475" s="61"/>
      <c r="R475" s="49"/>
      <c r="S475" s="49"/>
      <c r="T475" s="49"/>
      <c r="U475" s="49"/>
      <c r="V475" s="49"/>
      <c r="W475" s="49"/>
      <c r="X475" s="49"/>
      <c r="Y475" s="49"/>
    </row>
    <row r="476" spans="1:25">
      <c r="A476" s="50"/>
      <c r="B476" s="177"/>
      <c r="C476" s="177"/>
      <c r="D476" s="177"/>
      <c r="E476" s="53"/>
      <c r="F476" s="49"/>
      <c r="G476" s="55"/>
      <c r="H476" s="178"/>
      <c r="I476" s="178"/>
      <c r="J476" s="178"/>
      <c r="K476" s="56"/>
      <c r="L476" s="49"/>
      <c r="M476" s="60"/>
      <c r="N476" s="179"/>
      <c r="O476" s="179"/>
      <c r="P476" s="179"/>
      <c r="Q476" s="61"/>
      <c r="R476" s="49"/>
      <c r="S476" s="49"/>
      <c r="T476" s="49"/>
      <c r="U476" s="49"/>
      <c r="V476" s="49"/>
      <c r="W476" s="49"/>
      <c r="X476" s="49"/>
      <c r="Y476" s="49"/>
    </row>
    <row r="477" spans="1:25">
      <c r="A477" s="50"/>
      <c r="B477" s="177"/>
      <c r="C477" s="177"/>
      <c r="D477" s="177"/>
      <c r="E477" s="53"/>
      <c r="F477" s="49"/>
      <c r="G477" s="55"/>
      <c r="H477" s="178"/>
      <c r="I477" s="178"/>
      <c r="J477" s="178"/>
      <c r="K477" s="56"/>
      <c r="L477" s="49"/>
      <c r="M477" s="60"/>
      <c r="N477" s="179"/>
      <c r="O477" s="179"/>
      <c r="P477" s="179"/>
      <c r="Q477" s="61"/>
      <c r="R477" s="49"/>
      <c r="S477" s="49"/>
      <c r="T477" s="49"/>
      <c r="U477" s="49"/>
      <c r="V477" s="49"/>
      <c r="W477" s="49"/>
      <c r="X477" s="49"/>
      <c r="Y477" s="49"/>
    </row>
    <row r="478" spans="1:25">
      <c r="A478" s="50"/>
      <c r="B478" s="177"/>
      <c r="C478" s="177"/>
      <c r="D478" s="177"/>
      <c r="E478" s="53"/>
      <c r="F478" s="49"/>
      <c r="G478" s="55"/>
      <c r="H478" s="178"/>
      <c r="I478" s="178"/>
      <c r="J478" s="178"/>
      <c r="K478" s="56"/>
      <c r="L478" s="49"/>
      <c r="M478" s="60"/>
      <c r="N478" s="179"/>
      <c r="O478" s="179"/>
      <c r="P478" s="179"/>
      <c r="Q478" s="61"/>
      <c r="R478" s="49"/>
      <c r="S478" s="49"/>
      <c r="T478" s="49"/>
      <c r="U478" s="49"/>
      <c r="V478" s="49"/>
      <c r="W478" s="49"/>
      <c r="X478" s="49"/>
      <c r="Y478" s="49"/>
    </row>
    <row r="479" spans="1:25">
      <c r="A479" s="50"/>
      <c r="B479" s="177"/>
      <c r="C479" s="177"/>
      <c r="D479" s="177"/>
      <c r="E479" s="53"/>
      <c r="F479" s="49"/>
      <c r="G479" s="55"/>
      <c r="H479" s="178"/>
      <c r="I479" s="178"/>
      <c r="J479" s="178"/>
      <c r="K479" s="56"/>
      <c r="L479" s="49"/>
      <c r="M479" s="60"/>
      <c r="N479" s="179"/>
      <c r="O479" s="179"/>
      <c r="P479" s="179"/>
      <c r="Q479" s="61"/>
      <c r="R479" s="49"/>
      <c r="S479" s="49"/>
      <c r="T479" s="49"/>
      <c r="U479" s="49"/>
      <c r="V479" s="49"/>
      <c r="W479" s="49"/>
      <c r="X479" s="49"/>
      <c r="Y479" s="49"/>
    </row>
    <row r="480" spans="1:25">
      <c r="A480" s="50"/>
      <c r="B480" s="177"/>
      <c r="C480" s="177"/>
      <c r="D480" s="177"/>
      <c r="E480" s="53"/>
      <c r="F480" s="49"/>
      <c r="G480" s="55"/>
      <c r="H480" s="178"/>
      <c r="I480" s="178"/>
      <c r="J480" s="178"/>
      <c r="K480" s="56"/>
      <c r="L480" s="49"/>
      <c r="M480" s="60"/>
      <c r="N480" s="179"/>
      <c r="O480" s="179"/>
      <c r="P480" s="179"/>
      <c r="Q480" s="61"/>
      <c r="R480" s="49"/>
      <c r="S480" s="49"/>
      <c r="T480" s="49"/>
      <c r="U480" s="49"/>
      <c r="V480" s="49"/>
      <c r="W480" s="49"/>
      <c r="X480" s="49"/>
      <c r="Y480" s="49"/>
    </row>
    <row r="481" spans="1:25">
      <c r="A481" s="50"/>
      <c r="B481" s="177"/>
      <c r="C481" s="177"/>
      <c r="D481" s="177"/>
      <c r="E481" s="53"/>
      <c r="F481" s="49"/>
      <c r="G481" s="55"/>
      <c r="H481" s="178"/>
      <c r="I481" s="178"/>
      <c r="J481" s="178"/>
      <c r="K481" s="56"/>
      <c r="L481" s="49"/>
      <c r="M481" s="60"/>
      <c r="N481" s="179"/>
      <c r="O481" s="179"/>
      <c r="P481" s="179"/>
      <c r="Q481" s="61"/>
      <c r="R481" s="49"/>
      <c r="S481" s="49"/>
      <c r="T481" s="49"/>
      <c r="U481" s="49"/>
      <c r="V481" s="49"/>
      <c r="W481" s="49"/>
      <c r="X481" s="49"/>
      <c r="Y481" s="49"/>
    </row>
    <row r="482" spans="1:25">
      <c r="A482" s="50"/>
      <c r="B482" s="177"/>
      <c r="C482" s="177"/>
      <c r="D482" s="177"/>
      <c r="E482" s="53"/>
      <c r="F482" s="49"/>
      <c r="G482" s="55"/>
      <c r="H482" s="178"/>
      <c r="I482" s="178"/>
      <c r="J482" s="178"/>
      <c r="K482" s="56"/>
      <c r="L482" s="49"/>
      <c r="M482" s="60"/>
      <c r="N482" s="179"/>
      <c r="O482" s="179"/>
      <c r="P482" s="179"/>
      <c r="Q482" s="61"/>
      <c r="R482" s="49"/>
      <c r="S482" s="49"/>
      <c r="T482" s="49"/>
      <c r="U482" s="49"/>
      <c r="V482" s="49"/>
      <c r="W482" s="49"/>
      <c r="X482" s="49"/>
      <c r="Y482" s="49"/>
    </row>
    <row r="483" spans="1:25">
      <c r="A483" s="50"/>
      <c r="B483" s="177"/>
      <c r="C483" s="177"/>
      <c r="D483" s="177"/>
      <c r="E483" s="53"/>
      <c r="F483" s="49"/>
      <c r="G483" s="55"/>
      <c r="H483" s="178"/>
      <c r="I483" s="178"/>
      <c r="J483" s="178"/>
      <c r="K483" s="56"/>
      <c r="L483" s="49"/>
      <c r="M483" s="60"/>
      <c r="N483" s="179"/>
      <c r="O483" s="179"/>
      <c r="P483" s="179"/>
      <c r="Q483" s="61"/>
      <c r="R483" s="49"/>
      <c r="S483" s="49"/>
      <c r="T483" s="49"/>
      <c r="U483" s="49"/>
      <c r="V483" s="49"/>
      <c r="W483" s="49"/>
      <c r="X483" s="49"/>
      <c r="Y483" s="49"/>
    </row>
    <row r="484" spans="1:25">
      <c r="A484" s="50"/>
      <c r="B484" s="177"/>
      <c r="C484" s="177"/>
      <c r="D484" s="177"/>
      <c r="E484" s="53"/>
      <c r="F484" s="49"/>
      <c r="G484" s="55"/>
      <c r="H484" s="178"/>
      <c r="I484" s="178"/>
      <c r="J484" s="178"/>
      <c r="K484" s="56"/>
      <c r="L484" s="49"/>
      <c r="M484" s="60"/>
      <c r="N484" s="179"/>
      <c r="O484" s="179"/>
      <c r="P484" s="179"/>
      <c r="Q484" s="61"/>
      <c r="R484" s="49"/>
      <c r="S484" s="49"/>
      <c r="T484" s="49"/>
      <c r="U484" s="49"/>
      <c r="V484" s="49"/>
      <c r="W484" s="49"/>
      <c r="X484" s="49"/>
      <c r="Y484" s="49"/>
    </row>
    <row r="485" spans="1:25">
      <c r="A485" s="50"/>
      <c r="B485" s="177"/>
      <c r="C485" s="177"/>
      <c r="D485" s="177"/>
      <c r="E485" s="53"/>
      <c r="F485" s="49"/>
      <c r="G485" s="55"/>
      <c r="H485" s="178"/>
      <c r="I485" s="178"/>
      <c r="J485" s="178"/>
      <c r="K485" s="56"/>
      <c r="L485" s="49"/>
      <c r="M485" s="60"/>
      <c r="N485" s="179"/>
      <c r="O485" s="179"/>
      <c r="P485" s="179"/>
      <c r="Q485" s="61"/>
      <c r="R485" s="49"/>
      <c r="S485" s="49"/>
      <c r="T485" s="49"/>
      <c r="U485" s="49"/>
      <c r="V485" s="49"/>
      <c r="W485" s="49"/>
      <c r="X485" s="49"/>
      <c r="Y485" s="49"/>
    </row>
    <row r="486" spans="1:25">
      <c r="A486" s="50"/>
      <c r="B486" s="177"/>
      <c r="C486" s="177"/>
      <c r="D486" s="177"/>
      <c r="E486" s="53"/>
      <c r="F486" s="49"/>
      <c r="G486" s="55"/>
      <c r="H486" s="178"/>
      <c r="I486" s="178"/>
      <c r="J486" s="178"/>
      <c r="K486" s="56"/>
      <c r="L486" s="49"/>
      <c r="M486" s="60"/>
      <c r="N486" s="179"/>
      <c r="O486" s="179"/>
      <c r="P486" s="179"/>
      <c r="Q486" s="61"/>
      <c r="R486" s="49"/>
      <c r="S486" s="49"/>
      <c r="T486" s="49"/>
      <c r="U486" s="49"/>
      <c r="V486" s="49"/>
      <c r="W486" s="49"/>
      <c r="X486" s="49"/>
      <c r="Y486" s="49"/>
    </row>
    <row r="487" spans="1:25">
      <c r="A487" s="50"/>
      <c r="B487" s="177"/>
      <c r="C487" s="177"/>
      <c r="D487" s="177"/>
      <c r="E487" s="53"/>
      <c r="F487" s="49"/>
      <c r="G487" s="55"/>
      <c r="H487" s="178"/>
      <c r="I487" s="178"/>
      <c r="J487" s="178"/>
      <c r="K487" s="56"/>
      <c r="L487" s="49"/>
      <c r="M487" s="60"/>
      <c r="N487" s="179"/>
      <c r="O487" s="179"/>
      <c r="P487" s="179"/>
      <c r="Q487" s="61"/>
      <c r="R487" s="49"/>
      <c r="S487" s="49"/>
      <c r="T487" s="49"/>
      <c r="U487" s="49"/>
      <c r="V487" s="49"/>
      <c r="W487" s="49"/>
      <c r="X487" s="49"/>
      <c r="Y487" s="49"/>
    </row>
    <row r="488" spans="1:25">
      <c r="A488" s="50"/>
      <c r="B488" s="177"/>
      <c r="C488" s="177"/>
      <c r="D488" s="177"/>
      <c r="E488" s="53"/>
      <c r="F488" s="49"/>
      <c r="G488" s="55"/>
      <c r="H488" s="178"/>
      <c r="I488" s="178"/>
      <c r="J488" s="178"/>
      <c r="K488" s="56"/>
      <c r="L488" s="49"/>
      <c r="M488" s="60"/>
      <c r="N488" s="179"/>
      <c r="O488" s="179"/>
      <c r="P488" s="179"/>
      <c r="Q488" s="61"/>
      <c r="R488" s="49"/>
      <c r="S488" s="49"/>
      <c r="T488" s="49"/>
      <c r="U488" s="49"/>
      <c r="V488" s="49"/>
      <c r="W488" s="49"/>
      <c r="X488" s="49"/>
      <c r="Y488" s="49"/>
    </row>
    <row r="489" spans="1:25">
      <c r="A489" s="50"/>
      <c r="B489" s="177"/>
      <c r="C489" s="177"/>
      <c r="D489" s="177"/>
      <c r="E489" s="53"/>
      <c r="F489" s="49"/>
      <c r="G489" s="55"/>
      <c r="H489" s="178"/>
      <c r="I489" s="178"/>
      <c r="J489" s="178"/>
      <c r="K489" s="56"/>
      <c r="L489" s="49"/>
      <c r="M489" s="60"/>
      <c r="N489" s="179"/>
      <c r="O489" s="179"/>
      <c r="P489" s="179"/>
      <c r="Q489" s="61"/>
      <c r="R489" s="49"/>
      <c r="S489" s="49"/>
      <c r="T489" s="49"/>
      <c r="U489" s="49"/>
      <c r="V489" s="49"/>
      <c r="W489" s="49"/>
      <c r="X489" s="49"/>
      <c r="Y489" s="49"/>
    </row>
    <row r="490" spans="1:25">
      <c r="A490" s="50"/>
      <c r="B490" s="177"/>
      <c r="C490" s="177"/>
      <c r="D490" s="177"/>
      <c r="E490" s="53"/>
      <c r="F490" s="49"/>
      <c r="G490" s="55"/>
      <c r="H490" s="178"/>
      <c r="I490" s="178"/>
      <c r="J490" s="178"/>
      <c r="K490" s="56"/>
      <c r="L490" s="49"/>
      <c r="M490" s="60"/>
      <c r="N490" s="179"/>
      <c r="O490" s="179"/>
      <c r="P490" s="179"/>
      <c r="Q490" s="61"/>
      <c r="R490" s="49"/>
      <c r="S490" s="49"/>
      <c r="T490" s="49"/>
      <c r="U490" s="49"/>
      <c r="V490" s="49"/>
      <c r="W490" s="49"/>
      <c r="X490" s="49"/>
      <c r="Y490" s="49"/>
    </row>
    <row r="491" spans="1:25">
      <c r="A491" s="50"/>
      <c r="B491" s="177"/>
      <c r="C491" s="177"/>
      <c r="D491" s="177"/>
      <c r="E491" s="53"/>
      <c r="F491" s="49"/>
      <c r="G491" s="55"/>
      <c r="H491" s="178"/>
      <c r="I491" s="178"/>
      <c r="J491" s="178"/>
      <c r="K491" s="56"/>
      <c r="L491" s="49"/>
      <c r="M491" s="60"/>
      <c r="N491" s="179"/>
      <c r="O491" s="179"/>
      <c r="P491" s="179"/>
      <c r="Q491" s="61"/>
      <c r="R491" s="49"/>
      <c r="S491" s="49"/>
      <c r="T491" s="49"/>
      <c r="U491" s="49"/>
      <c r="V491" s="49"/>
      <c r="W491" s="49"/>
      <c r="X491" s="49"/>
      <c r="Y491" s="49"/>
    </row>
    <row r="492" spans="1:25">
      <c r="A492" s="50"/>
      <c r="B492" s="177"/>
      <c r="C492" s="177"/>
      <c r="D492" s="177"/>
      <c r="E492" s="53"/>
      <c r="F492" s="49"/>
      <c r="G492" s="55"/>
      <c r="H492" s="178"/>
      <c r="I492" s="178"/>
      <c r="J492" s="178"/>
      <c r="K492" s="56"/>
      <c r="L492" s="49"/>
      <c r="M492" s="60"/>
      <c r="N492" s="179"/>
      <c r="O492" s="179"/>
      <c r="P492" s="179"/>
      <c r="Q492" s="61"/>
      <c r="R492" s="49"/>
      <c r="S492" s="49"/>
      <c r="T492" s="49"/>
      <c r="U492" s="49"/>
      <c r="V492" s="49"/>
      <c r="W492" s="49"/>
      <c r="X492" s="49"/>
      <c r="Y492" s="49"/>
    </row>
    <row r="493" spans="1:25">
      <c r="A493" s="50"/>
      <c r="B493" s="177"/>
      <c r="C493" s="177"/>
      <c r="D493" s="177"/>
      <c r="E493" s="53"/>
      <c r="F493" s="49"/>
      <c r="G493" s="55"/>
      <c r="H493" s="178"/>
      <c r="I493" s="178"/>
      <c r="J493" s="178"/>
      <c r="K493" s="56"/>
      <c r="L493" s="49"/>
      <c r="M493" s="60"/>
      <c r="N493" s="179"/>
      <c r="O493" s="179"/>
      <c r="P493" s="179"/>
      <c r="Q493" s="61"/>
      <c r="R493" s="49"/>
      <c r="S493" s="49"/>
      <c r="T493" s="49"/>
      <c r="U493" s="49"/>
      <c r="V493" s="49"/>
      <c r="W493" s="49"/>
      <c r="X493" s="49"/>
      <c r="Y493" s="49"/>
    </row>
    <row r="494" spans="1:25">
      <c r="A494" s="50"/>
      <c r="B494" s="177"/>
      <c r="C494" s="177"/>
      <c r="D494" s="177"/>
      <c r="E494" s="53"/>
      <c r="F494" s="49"/>
      <c r="G494" s="55"/>
      <c r="H494" s="178"/>
      <c r="I494" s="178"/>
      <c r="J494" s="178"/>
      <c r="K494" s="56"/>
      <c r="L494" s="49"/>
      <c r="M494" s="60"/>
      <c r="N494" s="179"/>
      <c r="O494" s="179"/>
      <c r="P494" s="179"/>
      <c r="Q494" s="61"/>
      <c r="R494" s="49"/>
      <c r="S494" s="49"/>
      <c r="T494" s="49"/>
      <c r="U494" s="49"/>
      <c r="V494" s="49"/>
      <c r="W494" s="49"/>
      <c r="X494" s="49"/>
      <c r="Y494" s="49"/>
    </row>
    <row r="495" spans="1:25">
      <c r="A495" s="50"/>
      <c r="B495" s="177"/>
      <c r="C495" s="177"/>
      <c r="D495" s="177"/>
      <c r="E495" s="53"/>
      <c r="F495" s="49"/>
      <c r="G495" s="55"/>
      <c r="H495" s="178"/>
      <c r="I495" s="178"/>
      <c r="J495" s="178"/>
      <c r="K495" s="56"/>
      <c r="L495" s="49"/>
      <c r="M495" s="60"/>
      <c r="N495" s="179"/>
      <c r="O495" s="179"/>
      <c r="P495" s="179"/>
      <c r="Q495" s="61"/>
      <c r="R495" s="49"/>
      <c r="S495" s="49"/>
      <c r="T495" s="49"/>
      <c r="U495" s="49"/>
      <c r="V495" s="49"/>
      <c r="W495" s="49"/>
      <c r="X495" s="49"/>
      <c r="Y495" s="49"/>
    </row>
    <row r="496" spans="1:25">
      <c r="A496" s="50"/>
      <c r="B496" s="177"/>
      <c r="C496" s="177"/>
      <c r="D496" s="177"/>
      <c r="E496" s="53"/>
      <c r="F496" s="49"/>
      <c r="G496" s="55"/>
      <c r="H496" s="178"/>
      <c r="I496" s="178"/>
      <c r="J496" s="178"/>
      <c r="K496" s="56"/>
      <c r="L496" s="49"/>
      <c r="M496" s="60"/>
      <c r="N496" s="179"/>
      <c r="O496" s="179"/>
      <c r="P496" s="179"/>
      <c r="Q496" s="61"/>
      <c r="R496" s="49"/>
      <c r="S496" s="49"/>
      <c r="T496" s="49"/>
      <c r="U496" s="49"/>
      <c r="V496" s="49"/>
      <c r="W496" s="49"/>
      <c r="X496" s="49"/>
      <c r="Y496" s="49"/>
    </row>
    <row r="497" spans="1:25">
      <c r="A497" s="50"/>
      <c r="B497" s="177"/>
      <c r="C497" s="177"/>
      <c r="D497" s="177"/>
      <c r="E497" s="53"/>
      <c r="F497" s="49"/>
      <c r="G497" s="55"/>
      <c r="H497" s="178"/>
      <c r="I497" s="178"/>
      <c r="J497" s="178"/>
      <c r="K497" s="56"/>
      <c r="L497" s="49"/>
      <c r="M497" s="60"/>
      <c r="N497" s="179"/>
      <c r="O497" s="179"/>
      <c r="P497" s="179"/>
      <c r="Q497" s="61"/>
      <c r="R497" s="49"/>
      <c r="S497" s="49"/>
      <c r="T497" s="49"/>
      <c r="U497" s="49"/>
      <c r="V497" s="49"/>
      <c r="W497" s="49"/>
      <c r="X497" s="49"/>
      <c r="Y497" s="49"/>
    </row>
    <row r="498" spans="1:25">
      <c r="A498" s="50"/>
      <c r="B498" s="177"/>
      <c r="C498" s="177"/>
      <c r="D498" s="177"/>
      <c r="E498" s="53"/>
      <c r="F498" s="49"/>
      <c r="G498" s="55"/>
      <c r="H498" s="178"/>
      <c r="I498" s="178"/>
      <c r="J498" s="178"/>
      <c r="K498" s="56"/>
      <c r="L498" s="49"/>
      <c r="M498" s="60"/>
      <c r="N498" s="179"/>
      <c r="O498" s="179"/>
      <c r="P498" s="179"/>
      <c r="Q498" s="61"/>
      <c r="R498" s="49"/>
      <c r="S498" s="49"/>
      <c r="T498" s="49"/>
      <c r="U498" s="49"/>
      <c r="V498" s="49"/>
      <c r="W498" s="49"/>
      <c r="X498" s="49"/>
      <c r="Y498" s="49"/>
    </row>
    <row r="499" spans="1:25">
      <c r="A499" s="50"/>
      <c r="B499" s="177"/>
      <c r="C499" s="177"/>
      <c r="D499" s="177"/>
      <c r="E499" s="53"/>
      <c r="F499" s="49"/>
      <c r="G499" s="55"/>
      <c r="H499" s="178"/>
      <c r="I499" s="178"/>
      <c r="J499" s="178"/>
      <c r="K499" s="56"/>
      <c r="L499" s="49"/>
      <c r="M499" s="60"/>
      <c r="N499" s="179"/>
      <c r="O499" s="179"/>
      <c r="P499" s="179"/>
      <c r="Q499" s="61"/>
      <c r="R499" s="49"/>
      <c r="S499" s="49"/>
      <c r="T499" s="49"/>
      <c r="U499" s="49"/>
      <c r="V499" s="49"/>
      <c r="W499" s="49"/>
      <c r="X499" s="49"/>
      <c r="Y499" s="49"/>
    </row>
    <row r="500" spans="1:25">
      <c r="A500" s="50"/>
      <c r="B500" s="177"/>
      <c r="C500" s="177"/>
      <c r="D500" s="177"/>
      <c r="E500" s="53"/>
      <c r="F500" s="49"/>
      <c r="G500" s="55"/>
      <c r="H500" s="178"/>
      <c r="I500" s="178"/>
      <c r="J500" s="178"/>
      <c r="K500" s="56"/>
      <c r="L500" s="49"/>
      <c r="M500" s="60"/>
      <c r="N500" s="179"/>
      <c r="O500" s="179"/>
      <c r="P500" s="179"/>
      <c r="Q500" s="61"/>
      <c r="R500" s="49"/>
      <c r="S500" s="49"/>
      <c r="T500" s="49"/>
      <c r="U500" s="49"/>
      <c r="V500" s="49"/>
      <c r="W500" s="49"/>
      <c r="X500" s="49"/>
      <c r="Y500" s="49"/>
    </row>
    <row r="501" spans="1:25">
      <c r="A501" s="50"/>
      <c r="B501" s="177"/>
      <c r="C501" s="177"/>
      <c r="D501" s="177"/>
      <c r="E501" s="53"/>
      <c r="F501" s="49"/>
      <c r="G501" s="55"/>
      <c r="H501" s="178"/>
      <c r="I501" s="178"/>
      <c r="J501" s="178"/>
      <c r="K501" s="56"/>
      <c r="L501" s="49"/>
      <c r="M501" s="60"/>
      <c r="N501" s="179"/>
      <c r="O501" s="179"/>
      <c r="P501" s="179"/>
      <c r="Q501" s="61"/>
      <c r="R501" s="49"/>
      <c r="S501" s="49"/>
      <c r="T501" s="49"/>
      <c r="U501" s="49"/>
      <c r="V501" s="49"/>
      <c r="W501" s="49"/>
      <c r="X501" s="49"/>
      <c r="Y501" s="49"/>
    </row>
    <row r="502" spans="1:25">
      <c r="A502" s="50"/>
      <c r="B502" s="177"/>
      <c r="C502" s="177"/>
      <c r="D502" s="177"/>
      <c r="E502" s="53"/>
      <c r="F502" s="49"/>
      <c r="G502" s="55"/>
      <c r="H502" s="178"/>
      <c r="I502" s="178"/>
      <c r="J502" s="178"/>
      <c r="K502" s="56"/>
      <c r="L502" s="49"/>
      <c r="M502" s="60"/>
      <c r="N502" s="179"/>
      <c r="O502" s="179"/>
      <c r="P502" s="179"/>
      <c r="Q502" s="61"/>
      <c r="R502" s="49"/>
      <c r="S502" s="49"/>
      <c r="T502" s="49"/>
      <c r="U502" s="49"/>
      <c r="V502" s="49"/>
      <c r="W502" s="49"/>
      <c r="X502" s="49"/>
      <c r="Y502" s="49"/>
    </row>
    <row r="503" spans="1:25">
      <c r="A503" s="50"/>
      <c r="B503" s="177"/>
      <c r="C503" s="177"/>
      <c r="D503" s="177"/>
      <c r="E503" s="53"/>
      <c r="F503" s="49"/>
      <c r="G503" s="55"/>
      <c r="H503" s="178"/>
      <c r="I503" s="178"/>
      <c r="J503" s="178"/>
      <c r="K503" s="56"/>
      <c r="L503" s="49"/>
      <c r="M503" s="60"/>
      <c r="N503" s="179"/>
      <c r="O503" s="179"/>
      <c r="P503" s="179"/>
      <c r="Q503" s="61"/>
      <c r="R503" s="49"/>
      <c r="S503" s="49"/>
      <c r="T503" s="49"/>
      <c r="U503" s="49"/>
      <c r="V503" s="49"/>
      <c r="W503" s="49"/>
      <c r="X503" s="49"/>
      <c r="Y503" s="49"/>
    </row>
    <row r="504" spans="1:25">
      <c r="A504" s="50"/>
      <c r="B504" s="177"/>
      <c r="C504" s="177"/>
      <c r="D504" s="177"/>
      <c r="E504" s="53"/>
      <c r="F504" s="49"/>
      <c r="G504" s="55"/>
      <c r="H504" s="178"/>
      <c r="I504" s="178"/>
      <c r="J504" s="178"/>
      <c r="K504" s="56"/>
      <c r="L504" s="49"/>
      <c r="M504" s="60"/>
      <c r="N504" s="179"/>
      <c r="O504" s="179"/>
      <c r="P504" s="179"/>
      <c r="Q504" s="61"/>
      <c r="R504" s="49"/>
      <c r="S504" s="49"/>
      <c r="T504" s="49"/>
      <c r="U504" s="49"/>
      <c r="V504" s="49"/>
      <c r="W504" s="49"/>
      <c r="X504" s="49"/>
      <c r="Y504" s="49"/>
    </row>
    <row r="505" spans="1:25">
      <c r="A505" s="50"/>
      <c r="B505" s="177"/>
      <c r="C505" s="177"/>
      <c r="D505" s="177"/>
      <c r="E505" s="53"/>
      <c r="F505" s="49"/>
      <c r="G505" s="55"/>
      <c r="H505" s="178"/>
      <c r="I505" s="178"/>
      <c r="J505" s="178"/>
      <c r="K505" s="56"/>
      <c r="L505" s="49"/>
      <c r="M505" s="60"/>
      <c r="N505" s="179"/>
      <c r="O505" s="179"/>
      <c r="P505" s="179"/>
      <c r="Q505" s="61"/>
      <c r="R505" s="49"/>
      <c r="S505" s="49"/>
      <c r="T505" s="49"/>
      <c r="U505" s="49"/>
      <c r="V505" s="49"/>
      <c r="W505" s="49"/>
      <c r="X505" s="49"/>
      <c r="Y505" s="49"/>
    </row>
    <row r="506" spans="1:25">
      <c r="A506" s="50"/>
      <c r="B506" s="177"/>
      <c r="C506" s="177"/>
      <c r="D506" s="177"/>
      <c r="E506" s="53"/>
      <c r="F506" s="49"/>
      <c r="G506" s="55"/>
      <c r="H506" s="178"/>
      <c r="I506" s="178"/>
      <c r="J506" s="178"/>
      <c r="K506" s="56"/>
      <c r="L506" s="49"/>
      <c r="M506" s="60"/>
      <c r="N506" s="179"/>
      <c r="O506" s="179"/>
      <c r="P506" s="179"/>
      <c r="Q506" s="61"/>
      <c r="R506" s="49"/>
      <c r="S506" s="49"/>
      <c r="T506" s="49"/>
      <c r="U506" s="49"/>
      <c r="V506" s="49"/>
      <c r="W506" s="49"/>
      <c r="X506" s="49"/>
      <c r="Y506" s="49"/>
    </row>
    <row r="507" spans="1:25">
      <c r="A507" s="50"/>
      <c r="B507" s="177"/>
      <c r="C507" s="177"/>
      <c r="D507" s="177"/>
      <c r="E507" s="53"/>
      <c r="F507" s="49"/>
      <c r="G507" s="55"/>
      <c r="H507" s="178"/>
      <c r="I507" s="178"/>
      <c r="J507" s="178"/>
      <c r="K507" s="56"/>
      <c r="L507" s="49"/>
      <c r="M507" s="60"/>
      <c r="N507" s="179"/>
      <c r="O507" s="179"/>
      <c r="P507" s="179"/>
      <c r="Q507" s="61"/>
      <c r="R507" s="49"/>
      <c r="S507" s="49"/>
      <c r="T507" s="49"/>
      <c r="U507" s="49"/>
      <c r="V507" s="49"/>
      <c r="W507" s="49"/>
      <c r="X507" s="49"/>
      <c r="Y507" s="49"/>
    </row>
    <row r="508" spans="1:25">
      <c r="A508" s="50"/>
      <c r="B508" s="177"/>
      <c r="C508" s="177"/>
      <c r="D508" s="177"/>
      <c r="E508" s="53"/>
      <c r="F508" s="49"/>
      <c r="G508" s="55"/>
      <c r="H508" s="178"/>
      <c r="I508" s="178"/>
      <c r="J508" s="178"/>
      <c r="K508" s="56"/>
      <c r="L508" s="49"/>
      <c r="M508" s="60"/>
      <c r="N508" s="179"/>
      <c r="O508" s="179"/>
      <c r="P508" s="179"/>
      <c r="Q508" s="61"/>
      <c r="R508" s="49"/>
      <c r="S508" s="49"/>
      <c r="T508" s="49"/>
      <c r="U508" s="49"/>
      <c r="V508" s="49"/>
      <c r="W508" s="49"/>
      <c r="X508" s="49"/>
      <c r="Y508" s="49"/>
    </row>
    <row r="509" spans="1:25">
      <c r="A509" s="50"/>
      <c r="B509" s="177"/>
      <c r="C509" s="177"/>
      <c r="D509" s="177"/>
      <c r="E509" s="53"/>
      <c r="F509" s="49"/>
      <c r="G509" s="55"/>
      <c r="H509" s="178"/>
      <c r="I509" s="178"/>
      <c r="J509" s="178"/>
      <c r="K509" s="56"/>
      <c r="L509" s="49"/>
      <c r="M509" s="60"/>
      <c r="N509" s="179"/>
      <c r="O509" s="179"/>
      <c r="P509" s="179"/>
      <c r="Q509" s="61"/>
      <c r="R509" s="49"/>
      <c r="S509" s="49"/>
      <c r="T509" s="49"/>
      <c r="U509" s="49"/>
      <c r="V509" s="49"/>
      <c r="W509" s="49"/>
      <c r="X509" s="49"/>
      <c r="Y509" s="49"/>
    </row>
    <row r="510" spans="1:25">
      <c r="A510" s="50"/>
      <c r="B510" s="177"/>
      <c r="C510" s="177"/>
      <c r="D510" s="177"/>
      <c r="E510" s="53"/>
      <c r="F510" s="49"/>
      <c r="G510" s="55"/>
      <c r="H510" s="178"/>
      <c r="I510" s="178"/>
      <c r="J510" s="178"/>
      <c r="K510" s="56"/>
      <c r="L510" s="49"/>
      <c r="M510" s="60"/>
      <c r="N510" s="179"/>
      <c r="O510" s="179"/>
      <c r="P510" s="179"/>
      <c r="Q510" s="61"/>
      <c r="R510" s="49"/>
      <c r="S510" s="49"/>
      <c r="T510" s="49"/>
      <c r="U510" s="49"/>
      <c r="V510" s="49"/>
      <c r="W510" s="49"/>
      <c r="X510" s="49"/>
      <c r="Y510" s="49"/>
    </row>
    <row r="511" spans="1:25">
      <c r="A511" s="50"/>
      <c r="B511" s="177"/>
      <c r="C511" s="177"/>
      <c r="D511" s="177"/>
      <c r="E511" s="53"/>
      <c r="F511" s="49"/>
      <c r="G511" s="55"/>
      <c r="H511" s="178"/>
      <c r="I511" s="178"/>
      <c r="J511" s="178"/>
      <c r="K511" s="56"/>
      <c r="L511" s="49"/>
      <c r="M511" s="60"/>
      <c r="N511" s="179"/>
      <c r="O511" s="179"/>
      <c r="P511" s="179"/>
      <c r="Q511" s="61"/>
      <c r="R511" s="49"/>
      <c r="S511" s="49"/>
      <c r="T511" s="49"/>
      <c r="U511" s="49"/>
      <c r="V511" s="49"/>
      <c r="W511" s="49"/>
      <c r="X511" s="49"/>
      <c r="Y511" s="49"/>
    </row>
    <row r="512" spans="1:25">
      <c r="A512" s="50"/>
      <c r="B512" s="177"/>
      <c r="C512" s="177"/>
      <c r="D512" s="177"/>
      <c r="E512" s="53"/>
      <c r="F512" s="49"/>
      <c r="G512" s="55"/>
      <c r="H512" s="178"/>
      <c r="I512" s="178"/>
      <c r="J512" s="178"/>
      <c r="K512" s="56"/>
      <c r="L512" s="49"/>
      <c r="M512" s="60"/>
      <c r="N512" s="179"/>
      <c r="O512" s="179"/>
      <c r="P512" s="179"/>
      <c r="Q512" s="61"/>
      <c r="R512" s="49"/>
      <c r="S512" s="49"/>
      <c r="T512" s="49"/>
      <c r="U512" s="49"/>
      <c r="V512" s="49"/>
      <c r="W512" s="49"/>
      <c r="X512" s="49"/>
      <c r="Y512" s="49"/>
    </row>
    <row r="513" spans="1:25">
      <c r="A513" s="50"/>
      <c r="B513" s="177"/>
      <c r="C513" s="177"/>
      <c r="D513" s="177"/>
      <c r="E513" s="53"/>
      <c r="F513" s="49"/>
      <c r="G513" s="55"/>
      <c r="H513" s="178"/>
      <c r="I513" s="178"/>
      <c r="J513" s="178"/>
      <c r="K513" s="56"/>
      <c r="L513" s="49"/>
      <c r="M513" s="60"/>
      <c r="N513" s="179"/>
      <c r="O513" s="179"/>
      <c r="P513" s="179"/>
      <c r="Q513" s="61"/>
      <c r="R513" s="49"/>
      <c r="S513" s="49"/>
      <c r="T513" s="49"/>
      <c r="U513" s="49"/>
      <c r="V513" s="49"/>
      <c r="W513" s="49"/>
      <c r="X513" s="49"/>
      <c r="Y513" s="49"/>
    </row>
    <row r="514" spans="1:25">
      <c r="A514" s="50"/>
      <c r="B514" s="177"/>
      <c r="C514" s="177"/>
      <c r="D514" s="177"/>
      <c r="E514" s="53"/>
      <c r="F514" s="49"/>
      <c r="G514" s="55"/>
      <c r="H514" s="178"/>
      <c r="I514" s="178"/>
      <c r="J514" s="178"/>
      <c r="K514" s="56"/>
      <c r="L514" s="49"/>
      <c r="M514" s="60"/>
      <c r="N514" s="179"/>
      <c r="O514" s="179"/>
      <c r="P514" s="179"/>
      <c r="Q514" s="61"/>
      <c r="R514" s="49"/>
      <c r="S514" s="49"/>
      <c r="T514" s="49"/>
      <c r="U514" s="49"/>
      <c r="V514" s="49"/>
      <c r="W514" s="49"/>
      <c r="X514" s="49"/>
      <c r="Y514" s="49"/>
    </row>
    <row r="515" spans="1:25">
      <c r="A515" s="50"/>
      <c r="B515" s="177"/>
      <c r="C515" s="177"/>
      <c r="D515" s="177"/>
      <c r="E515" s="53"/>
      <c r="F515" s="49"/>
      <c r="G515" s="55"/>
      <c r="H515" s="178"/>
      <c r="I515" s="178"/>
      <c r="J515" s="178"/>
      <c r="K515" s="56"/>
      <c r="L515" s="49"/>
      <c r="M515" s="60"/>
      <c r="N515" s="179"/>
      <c r="O515" s="179"/>
      <c r="P515" s="179"/>
      <c r="Q515" s="61"/>
      <c r="R515" s="49"/>
      <c r="S515" s="49"/>
      <c r="T515" s="49"/>
      <c r="U515" s="49"/>
      <c r="V515" s="49"/>
      <c r="W515" s="49"/>
      <c r="X515" s="49"/>
      <c r="Y515" s="49"/>
    </row>
    <row r="516" spans="1:25">
      <c r="A516" s="50"/>
      <c r="B516" s="177"/>
      <c r="C516" s="177"/>
      <c r="D516" s="177"/>
      <c r="E516" s="53"/>
      <c r="F516" s="49"/>
      <c r="G516" s="55"/>
      <c r="H516" s="178"/>
      <c r="I516" s="178"/>
      <c r="J516" s="178"/>
      <c r="K516" s="56"/>
      <c r="L516" s="49"/>
      <c r="M516" s="60"/>
      <c r="N516" s="179"/>
      <c r="O516" s="179"/>
      <c r="P516" s="179"/>
      <c r="Q516" s="61"/>
      <c r="R516" s="49"/>
      <c r="S516" s="49"/>
      <c r="T516" s="49"/>
      <c r="U516" s="49"/>
      <c r="V516" s="49"/>
      <c r="W516" s="49"/>
      <c r="X516" s="49"/>
      <c r="Y516" s="49"/>
    </row>
    <row r="517" spans="1:25">
      <c r="A517" s="50"/>
      <c r="B517" s="177"/>
      <c r="C517" s="177"/>
      <c r="D517" s="177"/>
      <c r="E517" s="53"/>
      <c r="F517" s="49"/>
      <c r="G517" s="55"/>
      <c r="H517" s="178"/>
      <c r="I517" s="178"/>
      <c r="J517" s="178"/>
      <c r="K517" s="56"/>
      <c r="L517" s="49"/>
      <c r="M517" s="60"/>
      <c r="N517" s="179"/>
      <c r="O517" s="179"/>
      <c r="P517" s="179"/>
      <c r="Q517" s="61"/>
      <c r="R517" s="49"/>
      <c r="S517" s="49"/>
      <c r="T517" s="49"/>
      <c r="U517" s="49"/>
      <c r="V517" s="49"/>
      <c r="W517" s="49"/>
      <c r="X517" s="49"/>
      <c r="Y517" s="49"/>
    </row>
    <row r="518" spans="1:25">
      <c r="A518" s="50"/>
      <c r="B518" s="177"/>
      <c r="C518" s="177"/>
      <c r="D518" s="177"/>
      <c r="E518" s="53"/>
      <c r="F518" s="49"/>
      <c r="G518" s="55"/>
      <c r="H518" s="178"/>
      <c r="I518" s="178"/>
      <c r="J518" s="178"/>
      <c r="K518" s="56"/>
      <c r="L518" s="49"/>
      <c r="M518" s="60"/>
      <c r="N518" s="179"/>
      <c r="O518" s="179"/>
      <c r="P518" s="179"/>
      <c r="Q518" s="61"/>
      <c r="R518" s="49"/>
      <c r="S518" s="49"/>
      <c r="T518" s="49"/>
      <c r="U518" s="49"/>
      <c r="V518" s="49"/>
      <c r="W518" s="49"/>
      <c r="X518" s="49"/>
      <c r="Y518" s="49"/>
    </row>
    <row r="519" spans="1:25">
      <c r="A519" s="50"/>
      <c r="B519" s="177"/>
      <c r="C519" s="177"/>
      <c r="D519" s="177"/>
      <c r="E519" s="53"/>
      <c r="F519" s="49"/>
      <c r="G519" s="55"/>
      <c r="H519" s="178"/>
      <c r="I519" s="178"/>
      <c r="J519" s="178"/>
      <c r="K519" s="56"/>
      <c r="L519" s="49"/>
      <c r="M519" s="60"/>
      <c r="N519" s="179"/>
      <c r="O519" s="179"/>
      <c r="P519" s="179"/>
      <c r="Q519" s="61"/>
      <c r="R519" s="49"/>
      <c r="S519" s="49"/>
      <c r="T519" s="49"/>
      <c r="U519" s="49"/>
      <c r="V519" s="49"/>
      <c r="W519" s="49"/>
      <c r="X519" s="49"/>
      <c r="Y519" s="49"/>
    </row>
    <row r="520" spans="1:25">
      <c r="A520" s="50"/>
      <c r="B520" s="177"/>
      <c r="C520" s="177"/>
      <c r="D520" s="177"/>
      <c r="E520" s="53"/>
      <c r="F520" s="49"/>
      <c r="G520" s="55"/>
      <c r="H520" s="178"/>
      <c r="I520" s="178"/>
      <c r="J520" s="178"/>
      <c r="K520" s="56"/>
      <c r="L520" s="49"/>
      <c r="M520" s="60"/>
      <c r="N520" s="179"/>
      <c r="O520" s="179"/>
      <c r="P520" s="179"/>
      <c r="Q520" s="61"/>
      <c r="R520" s="49"/>
      <c r="S520" s="49"/>
      <c r="T520" s="49"/>
      <c r="U520" s="49"/>
      <c r="V520" s="49"/>
      <c r="W520" s="49"/>
      <c r="X520" s="49"/>
      <c r="Y520" s="49"/>
    </row>
    <row r="521" spans="1:25">
      <c r="A521" s="50"/>
      <c r="B521" s="177"/>
      <c r="C521" s="177"/>
      <c r="D521" s="177"/>
      <c r="E521" s="53"/>
      <c r="F521" s="49"/>
      <c r="G521" s="55"/>
      <c r="H521" s="178"/>
      <c r="I521" s="178"/>
      <c r="J521" s="178"/>
      <c r="K521" s="56"/>
      <c r="L521" s="49"/>
      <c r="M521" s="60"/>
      <c r="N521" s="179"/>
      <c r="O521" s="179"/>
      <c r="P521" s="179"/>
      <c r="Q521" s="61"/>
      <c r="R521" s="49"/>
      <c r="S521" s="49"/>
      <c r="T521" s="49"/>
      <c r="U521" s="49"/>
      <c r="V521" s="49"/>
      <c r="W521" s="49"/>
      <c r="X521" s="49"/>
      <c r="Y521" s="49"/>
    </row>
    <row r="522" spans="1:25">
      <c r="A522" s="50"/>
      <c r="B522" s="177"/>
      <c r="C522" s="177"/>
      <c r="D522" s="177"/>
      <c r="E522" s="53"/>
      <c r="F522" s="49"/>
      <c r="G522" s="55"/>
      <c r="H522" s="178"/>
      <c r="I522" s="178"/>
      <c r="J522" s="178"/>
      <c r="K522" s="56"/>
      <c r="L522" s="49"/>
      <c r="M522" s="60"/>
      <c r="N522" s="179"/>
      <c r="O522" s="179"/>
      <c r="P522" s="179"/>
      <c r="Q522" s="61"/>
      <c r="R522" s="49"/>
      <c r="S522" s="49"/>
      <c r="T522" s="49"/>
      <c r="U522" s="49"/>
      <c r="V522" s="49"/>
      <c r="W522" s="49"/>
      <c r="X522" s="49"/>
      <c r="Y522" s="49"/>
    </row>
    <row r="523" spans="1:25">
      <c r="A523" s="50"/>
      <c r="B523" s="177"/>
      <c r="C523" s="177"/>
      <c r="D523" s="177"/>
      <c r="E523" s="53"/>
      <c r="F523" s="49"/>
      <c r="G523" s="55"/>
      <c r="H523" s="178"/>
      <c r="I523" s="178"/>
      <c r="J523" s="178"/>
      <c r="K523" s="56"/>
      <c r="L523" s="49"/>
      <c r="M523" s="60"/>
      <c r="N523" s="179"/>
      <c r="O523" s="179"/>
      <c r="P523" s="179"/>
      <c r="Q523" s="61"/>
      <c r="R523" s="49"/>
      <c r="S523" s="49"/>
      <c r="T523" s="49"/>
      <c r="U523" s="49"/>
      <c r="V523" s="49"/>
      <c r="W523" s="49"/>
      <c r="X523" s="49"/>
      <c r="Y523" s="49"/>
    </row>
    <row r="524" spans="1:25">
      <c r="A524" s="50"/>
      <c r="B524" s="177"/>
      <c r="C524" s="177"/>
      <c r="D524" s="177"/>
      <c r="E524" s="53"/>
      <c r="F524" s="49"/>
      <c r="G524" s="55"/>
      <c r="H524" s="178"/>
      <c r="I524" s="178"/>
      <c r="J524" s="178"/>
      <c r="K524" s="56"/>
      <c r="L524" s="49"/>
      <c r="M524" s="60"/>
      <c r="N524" s="179"/>
      <c r="O524" s="179"/>
      <c r="P524" s="179"/>
      <c r="Q524" s="61"/>
      <c r="R524" s="49"/>
      <c r="S524" s="49"/>
      <c r="T524" s="49"/>
      <c r="U524" s="49"/>
      <c r="V524" s="49"/>
      <c r="W524" s="49"/>
      <c r="X524" s="49"/>
      <c r="Y524" s="49"/>
    </row>
    <row r="525" spans="1:25">
      <c r="A525" s="50"/>
      <c r="B525" s="177"/>
      <c r="C525" s="177"/>
      <c r="D525" s="177"/>
      <c r="E525" s="53"/>
      <c r="F525" s="49"/>
      <c r="G525" s="55"/>
      <c r="H525" s="178"/>
      <c r="I525" s="178"/>
      <c r="J525" s="178"/>
      <c r="K525" s="56"/>
      <c r="L525" s="49"/>
      <c r="M525" s="60"/>
      <c r="N525" s="179"/>
      <c r="O525" s="179"/>
      <c r="P525" s="179"/>
      <c r="Q525" s="61"/>
      <c r="R525" s="49"/>
      <c r="S525" s="49"/>
      <c r="T525" s="49"/>
      <c r="U525" s="49"/>
      <c r="V525" s="49"/>
      <c r="W525" s="49"/>
      <c r="X525" s="49"/>
      <c r="Y525" s="49"/>
    </row>
    <row r="526" spans="1:25">
      <c r="A526" s="50"/>
      <c r="B526" s="177"/>
      <c r="C526" s="177"/>
      <c r="D526" s="177"/>
      <c r="E526" s="53"/>
      <c r="F526" s="49"/>
      <c r="G526" s="55"/>
      <c r="H526" s="178"/>
      <c r="I526" s="178"/>
      <c r="J526" s="178"/>
      <c r="K526" s="56"/>
      <c r="L526" s="49"/>
      <c r="M526" s="60"/>
      <c r="N526" s="179"/>
      <c r="O526" s="179"/>
      <c r="P526" s="179"/>
      <c r="Q526" s="61"/>
      <c r="R526" s="49"/>
      <c r="S526" s="49"/>
      <c r="T526" s="49"/>
      <c r="U526" s="49"/>
      <c r="V526" s="49"/>
      <c r="W526" s="49"/>
      <c r="X526" s="49"/>
      <c r="Y526" s="49"/>
    </row>
    <row r="527" spans="1:25">
      <c r="A527" s="50"/>
      <c r="B527" s="177"/>
      <c r="C527" s="177"/>
      <c r="D527" s="177"/>
      <c r="E527" s="53"/>
      <c r="F527" s="49"/>
      <c r="G527" s="55"/>
      <c r="H527" s="178"/>
      <c r="I527" s="178"/>
      <c r="J527" s="178"/>
      <c r="K527" s="56"/>
      <c r="L527" s="49"/>
      <c r="M527" s="60"/>
      <c r="N527" s="179"/>
      <c r="O527" s="179"/>
      <c r="P527" s="179"/>
      <c r="Q527" s="61"/>
      <c r="R527" s="49"/>
      <c r="S527" s="49"/>
      <c r="T527" s="49"/>
      <c r="U527" s="49"/>
      <c r="V527" s="49"/>
      <c r="W527" s="49"/>
      <c r="X527" s="49"/>
      <c r="Y527" s="49"/>
    </row>
    <row r="528" spans="1:25">
      <c r="A528" s="50"/>
      <c r="B528" s="177"/>
      <c r="C528" s="177"/>
      <c r="D528" s="177"/>
      <c r="E528" s="53"/>
      <c r="F528" s="49"/>
      <c r="G528" s="55"/>
      <c r="H528" s="178"/>
      <c r="I528" s="178"/>
      <c r="J528" s="178"/>
      <c r="K528" s="56"/>
      <c r="L528" s="49"/>
      <c r="M528" s="60"/>
      <c r="N528" s="179"/>
      <c r="O528" s="179"/>
      <c r="P528" s="179"/>
      <c r="Q528" s="61"/>
      <c r="R528" s="49"/>
      <c r="S528" s="49"/>
      <c r="T528" s="49"/>
      <c r="U528" s="49"/>
      <c r="V528" s="49"/>
      <c r="W528" s="49"/>
      <c r="X528" s="49"/>
      <c r="Y528" s="49"/>
    </row>
    <row r="529" spans="1:25">
      <c r="A529" s="50"/>
      <c r="B529" s="177"/>
      <c r="C529" s="177"/>
      <c r="D529" s="177"/>
      <c r="E529" s="53"/>
      <c r="F529" s="49"/>
      <c r="G529" s="55"/>
      <c r="H529" s="178"/>
      <c r="I529" s="178"/>
      <c r="J529" s="178"/>
      <c r="K529" s="56"/>
      <c r="L529" s="49"/>
      <c r="M529" s="60"/>
      <c r="N529" s="179"/>
      <c r="O529" s="179"/>
      <c r="P529" s="179"/>
      <c r="Q529" s="61"/>
      <c r="R529" s="49"/>
      <c r="S529" s="49"/>
      <c r="T529" s="49"/>
      <c r="U529" s="49"/>
      <c r="V529" s="49"/>
      <c r="W529" s="49"/>
      <c r="X529" s="49"/>
      <c r="Y529" s="49"/>
    </row>
    <row r="530" spans="1:25">
      <c r="A530" s="50"/>
      <c r="B530" s="177"/>
      <c r="C530" s="177"/>
      <c r="D530" s="177"/>
      <c r="E530" s="53"/>
      <c r="F530" s="49"/>
      <c r="G530" s="55"/>
      <c r="H530" s="178"/>
      <c r="I530" s="178"/>
      <c r="J530" s="178"/>
      <c r="K530" s="56"/>
      <c r="L530" s="49"/>
      <c r="M530" s="60"/>
      <c r="N530" s="179"/>
      <c r="O530" s="179"/>
      <c r="P530" s="179"/>
      <c r="Q530" s="61"/>
      <c r="R530" s="49"/>
      <c r="S530" s="49"/>
      <c r="T530" s="49"/>
      <c r="U530" s="49"/>
      <c r="V530" s="49"/>
      <c r="W530" s="49"/>
      <c r="X530" s="49"/>
      <c r="Y530" s="49"/>
    </row>
    <row r="531" spans="1:25">
      <c r="A531" s="50"/>
      <c r="B531" s="177"/>
      <c r="C531" s="177"/>
      <c r="D531" s="177"/>
      <c r="E531" s="53"/>
      <c r="F531" s="49"/>
      <c r="G531" s="55"/>
      <c r="H531" s="178"/>
      <c r="I531" s="178"/>
      <c r="J531" s="178"/>
      <c r="K531" s="56"/>
      <c r="L531" s="49"/>
      <c r="M531" s="60"/>
      <c r="N531" s="179"/>
      <c r="O531" s="179"/>
      <c r="P531" s="179"/>
      <c r="Q531" s="61"/>
      <c r="R531" s="49"/>
      <c r="S531" s="49"/>
      <c r="T531" s="49"/>
      <c r="U531" s="49"/>
      <c r="V531" s="49"/>
      <c r="W531" s="49"/>
      <c r="X531" s="49"/>
      <c r="Y531" s="49"/>
    </row>
    <row r="532" spans="1:25">
      <c r="A532" s="50"/>
      <c r="B532" s="177"/>
      <c r="C532" s="177"/>
      <c r="D532" s="177"/>
      <c r="E532" s="53"/>
      <c r="F532" s="49"/>
      <c r="G532" s="55"/>
      <c r="H532" s="178"/>
      <c r="I532" s="178"/>
      <c r="J532" s="178"/>
      <c r="K532" s="56"/>
      <c r="L532" s="49"/>
      <c r="M532" s="60"/>
      <c r="N532" s="179"/>
      <c r="O532" s="179"/>
      <c r="P532" s="179"/>
      <c r="Q532" s="61"/>
      <c r="R532" s="49"/>
      <c r="S532" s="49"/>
      <c r="T532" s="49"/>
      <c r="U532" s="49"/>
      <c r="V532" s="49"/>
      <c r="W532" s="49"/>
      <c r="X532" s="49"/>
      <c r="Y532" s="49"/>
    </row>
    <row r="533" spans="1:25">
      <c r="A533" s="50"/>
      <c r="B533" s="177"/>
      <c r="C533" s="177"/>
      <c r="D533" s="177"/>
      <c r="E533" s="53"/>
      <c r="F533" s="49"/>
      <c r="G533" s="55"/>
      <c r="H533" s="178"/>
      <c r="I533" s="178"/>
      <c r="J533" s="178"/>
      <c r="K533" s="56"/>
      <c r="L533" s="49"/>
      <c r="M533" s="60"/>
      <c r="N533" s="179"/>
      <c r="O533" s="179"/>
      <c r="P533" s="179"/>
      <c r="Q533" s="61"/>
      <c r="R533" s="49"/>
      <c r="S533" s="49"/>
      <c r="T533" s="49"/>
      <c r="U533" s="49"/>
      <c r="V533" s="49"/>
      <c r="W533" s="49"/>
      <c r="X533" s="49"/>
      <c r="Y533" s="49"/>
    </row>
    <row r="534" spans="1:25">
      <c r="A534" s="50"/>
      <c r="B534" s="177"/>
      <c r="C534" s="177"/>
      <c r="D534" s="177"/>
      <c r="E534" s="53"/>
      <c r="F534" s="49"/>
      <c r="G534" s="55"/>
      <c r="H534" s="178"/>
      <c r="I534" s="178"/>
      <c r="J534" s="178"/>
      <c r="K534" s="56"/>
      <c r="L534" s="49"/>
      <c r="M534" s="60"/>
      <c r="N534" s="179"/>
      <c r="O534" s="179"/>
      <c r="P534" s="179"/>
      <c r="Q534" s="61"/>
      <c r="R534" s="49"/>
      <c r="S534" s="49"/>
      <c r="T534" s="49"/>
      <c r="U534" s="49"/>
      <c r="V534" s="49"/>
      <c r="W534" s="49"/>
      <c r="X534" s="49"/>
      <c r="Y534" s="49"/>
    </row>
    <row r="535" spans="1:25">
      <c r="A535" s="50"/>
      <c r="B535" s="177"/>
      <c r="C535" s="177"/>
      <c r="D535" s="177"/>
      <c r="E535" s="53"/>
      <c r="F535" s="49"/>
      <c r="G535" s="55"/>
      <c r="H535" s="178"/>
      <c r="I535" s="178"/>
      <c r="J535" s="178"/>
      <c r="K535" s="56"/>
      <c r="L535" s="49"/>
      <c r="M535" s="60"/>
      <c r="N535" s="179"/>
      <c r="O535" s="179"/>
      <c r="P535" s="179"/>
      <c r="Q535" s="61"/>
      <c r="R535" s="49"/>
      <c r="S535" s="49"/>
      <c r="T535" s="49"/>
      <c r="U535" s="49"/>
      <c r="V535" s="49"/>
      <c r="W535" s="49"/>
      <c r="X535" s="49"/>
      <c r="Y535" s="49"/>
    </row>
    <row r="536" spans="1:25">
      <c r="A536" s="50"/>
      <c r="B536" s="177"/>
      <c r="C536" s="177"/>
      <c r="D536" s="177"/>
      <c r="E536" s="53"/>
      <c r="F536" s="49"/>
      <c r="G536" s="55"/>
      <c r="H536" s="178"/>
      <c r="I536" s="178"/>
      <c r="J536" s="178"/>
      <c r="K536" s="56"/>
      <c r="L536" s="49"/>
      <c r="M536" s="60"/>
      <c r="N536" s="179"/>
      <c r="O536" s="179"/>
      <c r="P536" s="179"/>
      <c r="Q536" s="61"/>
      <c r="R536" s="49"/>
      <c r="S536" s="49"/>
      <c r="T536" s="49"/>
      <c r="U536" s="49"/>
      <c r="V536" s="49"/>
      <c r="W536" s="49"/>
      <c r="X536" s="49"/>
      <c r="Y536" s="49"/>
    </row>
    <row r="537" spans="1:25">
      <c r="A537" s="50"/>
      <c r="B537" s="177"/>
      <c r="C537" s="177"/>
      <c r="D537" s="177"/>
      <c r="E537" s="53"/>
      <c r="F537" s="49"/>
      <c r="G537" s="55"/>
      <c r="H537" s="178"/>
      <c r="I537" s="178"/>
      <c r="J537" s="178"/>
      <c r="K537" s="56"/>
      <c r="L537" s="49"/>
      <c r="M537" s="60"/>
      <c r="N537" s="179"/>
      <c r="O537" s="179"/>
      <c r="P537" s="179"/>
      <c r="Q537" s="61"/>
      <c r="R537" s="49"/>
      <c r="S537" s="49"/>
      <c r="T537" s="49"/>
      <c r="U537" s="49"/>
      <c r="V537" s="49"/>
      <c r="W537" s="49"/>
      <c r="X537" s="49"/>
      <c r="Y537" s="49"/>
    </row>
    <row r="538" spans="1:25">
      <c r="A538" s="50"/>
      <c r="B538" s="177"/>
      <c r="C538" s="177"/>
      <c r="D538" s="177"/>
      <c r="E538" s="53"/>
      <c r="F538" s="49"/>
      <c r="G538" s="55"/>
      <c r="H538" s="178"/>
      <c r="I538" s="178"/>
      <c r="J538" s="178"/>
      <c r="K538" s="56"/>
      <c r="L538" s="49"/>
      <c r="M538" s="60"/>
      <c r="N538" s="179"/>
      <c r="O538" s="179"/>
      <c r="P538" s="179"/>
      <c r="Q538" s="61"/>
      <c r="R538" s="49"/>
      <c r="S538" s="49"/>
      <c r="T538" s="49"/>
      <c r="U538" s="49"/>
      <c r="V538" s="49"/>
      <c r="W538" s="49"/>
      <c r="X538" s="49"/>
      <c r="Y538" s="49"/>
    </row>
    <row r="539" spans="1:25">
      <c r="A539" s="50"/>
      <c r="B539" s="177"/>
      <c r="C539" s="177"/>
      <c r="D539" s="177"/>
      <c r="E539" s="53"/>
      <c r="F539" s="49"/>
      <c r="G539" s="55"/>
      <c r="H539" s="178"/>
      <c r="I539" s="178"/>
      <c r="J539" s="178"/>
      <c r="K539" s="56"/>
      <c r="L539" s="49"/>
      <c r="M539" s="60"/>
      <c r="N539" s="179"/>
      <c r="O539" s="179"/>
      <c r="P539" s="179"/>
      <c r="Q539" s="61"/>
      <c r="R539" s="49"/>
      <c r="S539" s="49"/>
      <c r="T539" s="49"/>
      <c r="U539" s="49"/>
      <c r="V539" s="49"/>
      <c r="W539" s="49"/>
      <c r="X539" s="49"/>
      <c r="Y539" s="49"/>
    </row>
    <row r="540" spans="1:25">
      <c r="A540" s="50"/>
      <c r="B540" s="177"/>
      <c r="C540" s="177"/>
      <c r="D540" s="177"/>
      <c r="E540" s="53"/>
      <c r="F540" s="49"/>
      <c r="G540" s="55"/>
      <c r="H540" s="178"/>
      <c r="I540" s="178"/>
      <c r="J540" s="178"/>
      <c r="K540" s="56"/>
      <c r="L540" s="49"/>
      <c r="M540" s="60"/>
      <c r="N540" s="179"/>
      <c r="O540" s="179"/>
      <c r="P540" s="179"/>
      <c r="Q540" s="61"/>
      <c r="R540" s="49"/>
      <c r="S540" s="49"/>
      <c r="T540" s="49"/>
      <c r="U540" s="49"/>
      <c r="V540" s="49"/>
      <c r="W540" s="49"/>
      <c r="X540" s="49"/>
      <c r="Y540" s="49"/>
    </row>
    <row r="541" spans="1:25">
      <c r="A541" s="50"/>
      <c r="B541" s="177"/>
      <c r="C541" s="177"/>
      <c r="D541" s="177"/>
      <c r="E541" s="53"/>
      <c r="F541" s="49"/>
      <c r="G541" s="55"/>
      <c r="H541" s="178"/>
      <c r="I541" s="178"/>
      <c r="J541" s="178"/>
      <c r="K541" s="56"/>
      <c r="L541" s="49"/>
      <c r="M541" s="60"/>
      <c r="N541" s="179"/>
      <c r="O541" s="179"/>
      <c r="P541" s="179"/>
      <c r="Q541" s="61"/>
      <c r="R541" s="49"/>
      <c r="S541" s="49"/>
      <c r="T541" s="49"/>
      <c r="U541" s="49"/>
      <c r="V541" s="49"/>
      <c r="W541" s="49"/>
      <c r="X541" s="49"/>
      <c r="Y541" s="49"/>
    </row>
    <row r="542" spans="1:25">
      <c r="A542" s="50"/>
      <c r="B542" s="177"/>
      <c r="C542" s="177"/>
      <c r="D542" s="177"/>
      <c r="E542" s="53"/>
      <c r="F542" s="49"/>
      <c r="G542" s="55"/>
      <c r="H542" s="178"/>
      <c r="I542" s="178"/>
      <c r="J542" s="178"/>
      <c r="K542" s="56"/>
      <c r="L542" s="49"/>
      <c r="M542" s="60"/>
      <c r="N542" s="179"/>
      <c r="O542" s="179"/>
      <c r="P542" s="179"/>
      <c r="Q542" s="61"/>
      <c r="R542" s="49"/>
      <c r="S542" s="49"/>
      <c r="T542" s="49"/>
      <c r="U542" s="49"/>
      <c r="V542" s="49"/>
      <c r="W542" s="49"/>
      <c r="X542" s="49"/>
      <c r="Y542" s="49"/>
    </row>
    <row r="543" spans="1:25">
      <c r="A543" s="50"/>
      <c r="B543" s="177"/>
      <c r="C543" s="177"/>
      <c r="D543" s="177"/>
      <c r="E543" s="53"/>
      <c r="F543" s="49"/>
      <c r="G543" s="55"/>
      <c r="H543" s="178"/>
      <c r="I543" s="178"/>
      <c r="J543" s="178"/>
      <c r="K543" s="56"/>
      <c r="L543" s="49"/>
      <c r="M543" s="60"/>
      <c r="N543" s="179"/>
      <c r="O543" s="179"/>
      <c r="P543" s="179"/>
      <c r="Q543" s="61"/>
      <c r="R543" s="49"/>
      <c r="S543" s="49"/>
      <c r="T543" s="49"/>
      <c r="U543" s="49"/>
      <c r="V543" s="49"/>
      <c r="W543" s="49"/>
      <c r="X543" s="49"/>
      <c r="Y543" s="49"/>
    </row>
    <row r="544" spans="1:25">
      <c r="A544" s="50"/>
      <c r="B544" s="177"/>
      <c r="C544" s="177"/>
      <c r="D544" s="177"/>
      <c r="E544" s="53"/>
      <c r="F544" s="49"/>
      <c r="G544" s="55"/>
      <c r="H544" s="178"/>
      <c r="I544" s="178"/>
      <c r="J544" s="178"/>
      <c r="K544" s="56"/>
      <c r="L544" s="49"/>
      <c r="M544" s="60"/>
      <c r="N544" s="179"/>
      <c r="O544" s="179"/>
      <c r="P544" s="179"/>
      <c r="Q544" s="61"/>
      <c r="R544" s="49"/>
      <c r="S544" s="49"/>
      <c r="T544" s="49"/>
      <c r="U544" s="49"/>
      <c r="V544" s="49"/>
      <c r="W544" s="49"/>
      <c r="X544" s="49"/>
      <c r="Y544" s="49"/>
    </row>
    <row r="545" spans="1:25">
      <c r="A545" s="50"/>
      <c r="B545" s="177"/>
      <c r="C545" s="177"/>
      <c r="D545" s="177"/>
      <c r="E545" s="53"/>
      <c r="F545" s="49"/>
      <c r="G545" s="55"/>
      <c r="H545" s="178"/>
      <c r="I545" s="178"/>
      <c r="J545" s="178"/>
      <c r="K545" s="56"/>
      <c r="L545" s="49"/>
      <c r="M545" s="60"/>
      <c r="N545" s="179"/>
      <c r="O545" s="179"/>
      <c r="P545" s="179"/>
      <c r="Q545" s="61"/>
      <c r="R545" s="49"/>
      <c r="S545" s="49"/>
      <c r="T545" s="49"/>
      <c r="U545" s="49"/>
      <c r="V545" s="49"/>
      <c r="W545" s="49"/>
      <c r="X545" s="49"/>
      <c r="Y545" s="49"/>
    </row>
    <row r="546" spans="1:25">
      <c r="A546" s="50"/>
      <c r="B546" s="177"/>
      <c r="C546" s="177"/>
      <c r="D546" s="177"/>
      <c r="E546" s="53"/>
      <c r="F546" s="49"/>
      <c r="G546" s="55"/>
      <c r="H546" s="178"/>
      <c r="I546" s="178"/>
      <c r="J546" s="178"/>
      <c r="K546" s="56"/>
      <c r="L546" s="49"/>
      <c r="M546" s="60"/>
      <c r="N546" s="179"/>
      <c r="O546" s="179"/>
      <c r="P546" s="179"/>
      <c r="Q546" s="61"/>
      <c r="R546" s="49"/>
      <c r="S546" s="49"/>
      <c r="T546" s="49"/>
      <c r="U546" s="49"/>
      <c r="V546" s="49"/>
      <c r="W546" s="49"/>
      <c r="X546" s="49"/>
      <c r="Y546" s="49"/>
    </row>
    <row r="547" spans="1:25">
      <c r="A547" s="50"/>
      <c r="B547" s="177"/>
      <c r="C547" s="177"/>
      <c r="D547" s="177"/>
      <c r="E547" s="53"/>
      <c r="F547" s="49"/>
      <c r="G547" s="55"/>
      <c r="H547" s="178"/>
      <c r="I547" s="178"/>
      <c r="J547" s="178"/>
      <c r="K547" s="56"/>
      <c r="L547" s="49"/>
      <c r="M547" s="60"/>
      <c r="N547" s="179"/>
      <c r="O547" s="179"/>
      <c r="P547" s="179"/>
      <c r="Q547" s="61"/>
      <c r="R547" s="49"/>
      <c r="S547" s="49"/>
      <c r="T547" s="49"/>
      <c r="U547" s="49"/>
      <c r="V547" s="49"/>
      <c r="W547" s="49"/>
      <c r="X547" s="49"/>
      <c r="Y547" s="49"/>
    </row>
    <row r="548" spans="1:25">
      <c r="A548" s="50"/>
      <c r="B548" s="177"/>
      <c r="C548" s="177"/>
      <c r="D548" s="177"/>
      <c r="E548" s="53"/>
      <c r="F548" s="49"/>
      <c r="G548" s="55"/>
      <c r="H548" s="178"/>
      <c r="I548" s="178"/>
      <c r="J548" s="178"/>
      <c r="K548" s="56"/>
      <c r="L548" s="49"/>
      <c r="M548" s="60"/>
      <c r="N548" s="179"/>
      <c r="O548" s="179"/>
      <c r="P548" s="179"/>
      <c r="Q548" s="61"/>
      <c r="R548" s="49"/>
      <c r="S548" s="49"/>
      <c r="T548" s="49"/>
      <c r="U548" s="49"/>
      <c r="V548" s="49"/>
      <c r="W548" s="49"/>
      <c r="X548" s="49"/>
      <c r="Y548" s="49"/>
    </row>
    <row r="549" spans="1:25">
      <c r="A549" s="50"/>
      <c r="B549" s="177"/>
      <c r="C549" s="177"/>
      <c r="D549" s="177"/>
      <c r="E549" s="53"/>
      <c r="F549" s="49"/>
      <c r="G549" s="55"/>
      <c r="H549" s="178"/>
      <c r="I549" s="178"/>
      <c r="J549" s="178"/>
      <c r="K549" s="56"/>
      <c r="L549" s="49"/>
      <c r="M549" s="60"/>
      <c r="N549" s="179"/>
      <c r="O549" s="179"/>
      <c r="P549" s="179"/>
      <c r="Q549" s="61"/>
      <c r="R549" s="49"/>
      <c r="S549" s="49"/>
      <c r="T549" s="49"/>
      <c r="U549" s="49"/>
      <c r="V549" s="49"/>
      <c r="W549" s="49"/>
      <c r="X549" s="49"/>
      <c r="Y549" s="49"/>
    </row>
    <row r="550" spans="1:25">
      <c r="A550" s="50"/>
      <c r="B550" s="177"/>
      <c r="C550" s="177"/>
      <c r="D550" s="177"/>
      <c r="E550" s="53"/>
      <c r="F550" s="49"/>
      <c r="G550" s="55"/>
      <c r="H550" s="178"/>
      <c r="I550" s="178"/>
      <c r="J550" s="178"/>
      <c r="K550" s="56"/>
      <c r="L550" s="49"/>
      <c r="M550" s="60"/>
      <c r="N550" s="179"/>
      <c r="O550" s="179"/>
      <c r="P550" s="179"/>
      <c r="Q550" s="61"/>
      <c r="R550" s="49"/>
      <c r="S550" s="49"/>
      <c r="T550" s="49"/>
      <c r="U550" s="49"/>
      <c r="V550" s="49"/>
      <c r="W550" s="49"/>
      <c r="X550" s="49"/>
      <c r="Y550" s="49"/>
    </row>
    <row r="551" spans="1:25">
      <c r="A551" s="50"/>
      <c r="B551" s="177"/>
      <c r="C551" s="177"/>
      <c r="D551" s="177"/>
      <c r="E551" s="53"/>
      <c r="F551" s="49"/>
      <c r="G551" s="55"/>
      <c r="H551" s="178"/>
      <c r="I551" s="178"/>
      <c r="J551" s="178"/>
      <c r="K551" s="56"/>
      <c r="L551" s="49"/>
      <c r="M551" s="60"/>
      <c r="N551" s="179"/>
      <c r="O551" s="179"/>
      <c r="P551" s="179"/>
      <c r="Q551" s="61"/>
      <c r="R551" s="49"/>
      <c r="S551" s="49"/>
      <c r="T551" s="49"/>
      <c r="U551" s="49"/>
      <c r="V551" s="49"/>
      <c r="W551" s="49"/>
      <c r="X551" s="49"/>
      <c r="Y551" s="49"/>
    </row>
    <row r="552" spans="1:25">
      <c r="A552" s="50"/>
      <c r="B552" s="177"/>
      <c r="C552" s="177"/>
      <c r="D552" s="177"/>
      <c r="E552" s="53"/>
      <c r="F552" s="49"/>
      <c r="G552" s="55"/>
      <c r="H552" s="178"/>
      <c r="I552" s="178"/>
      <c r="J552" s="178"/>
      <c r="K552" s="56"/>
      <c r="L552" s="49"/>
      <c r="M552" s="60"/>
      <c r="N552" s="179"/>
      <c r="O552" s="179"/>
      <c r="P552" s="179"/>
      <c r="Q552" s="61"/>
      <c r="R552" s="49"/>
      <c r="S552" s="49"/>
      <c r="T552" s="49"/>
      <c r="U552" s="49"/>
      <c r="V552" s="49"/>
      <c r="W552" s="49"/>
      <c r="X552" s="49"/>
      <c r="Y552" s="49"/>
    </row>
    <row r="553" spans="1:25">
      <c r="A553" s="50"/>
      <c r="B553" s="177"/>
      <c r="C553" s="177"/>
      <c r="D553" s="177"/>
      <c r="E553" s="53"/>
      <c r="F553" s="49"/>
      <c r="G553" s="55"/>
      <c r="H553" s="178"/>
      <c r="I553" s="178"/>
      <c r="J553" s="178"/>
      <c r="K553" s="56"/>
      <c r="L553" s="49"/>
      <c r="M553" s="60"/>
      <c r="N553" s="179"/>
      <c r="O553" s="179"/>
      <c r="P553" s="179"/>
      <c r="Q553" s="61"/>
      <c r="R553" s="49"/>
      <c r="S553" s="49"/>
      <c r="T553" s="49"/>
      <c r="U553" s="49"/>
      <c r="V553" s="49"/>
      <c r="W553" s="49"/>
      <c r="X553" s="49"/>
      <c r="Y553" s="49"/>
    </row>
    <row r="554" spans="1:25">
      <c r="A554" s="50"/>
      <c r="B554" s="177"/>
      <c r="C554" s="177"/>
      <c r="D554" s="177"/>
      <c r="E554" s="53"/>
      <c r="F554" s="49"/>
      <c r="G554" s="55"/>
      <c r="H554" s="178"/>
      <c r="I554" s="178"/>
      <c r="J554" s="178"/>
      <c r="K554" s="56"/>
      <c r="L554" s="49"/>
      <c r="M554" s="60"/>
      <c r="N554" s="179"/>
      <c r="O554" s="179"/>
      <c r="P554" s="179"/>
      <c r="Q554" s="61"/>
      <c r="R554" s="49"/>
      <c r="S554" s="49"/>
      <c r="T554" s="49"/>
      <c r="U554" s="49"/>
      <c r="V554" s="49"/>
      <c r="W554" s="49"/>
      <c r="X554" s="49"/>
      <c r="Y554" s="49"/>
    </row>
    <row r="555" spans="1:25">
      <c r="A555" s="50"/>
      <c r="B555" s="177"/>
      <c r="C555" s="177"/>
      <c r="D555" s="177"/>
      <c r="E555" s="53"/>
      <c r="F555" s="49"/>
      <c r="G555" s="55"/>
      <c r="H555" s="178"/>
      <c r="I555" s="178"/>
      <c r="J555" s="178"/>
      <c r="K555" s="56"/>
      <c r="L555" s="49"/>
      <c r="M555" s="60"/>
      <c r="N555" s="179"/>
      <c r="O555" s="179"/>
      <c r="P555" s="179"/>
      <c r="Q555" s="61"/>
      <c r="R555" s="49"/>
      <c r="S555" s="49"/>
      <c r="T555" s="49"/>
      <c r="U555" s="49"/>
      <c r="V555" s="49"/>
      <c r="W555" s="49"/>
      <c r="X555" s="49"/>
      <c r="Y555" s="49"/>
    </row>
    <row r="556" spans="1:25">
      <c r="A556" s="50"/>
      <c r="B556" s="177"/>
      <c r="C556" s="177"/>
      <c r="D556" s="177"/>
      <c r="E556" s="53"/>
      <c r="F556" s="49"/>
      <c r="G556" s="55"/>
      <c r="H556" s="178"/>
      <c r="I556" s="178"/>
      <c r="J556" s="178"/>
      <c r="K556" s="56"/>
      <c r="L556" s="49"/>
      <c r="M556" s="60"/>
      <c r="N556" s="179"/>
      <c r="O556" s="179"/>
      <c r="P556" s="179"/>
      <c r="Q556" s="61"/>
      <c r="R556" s="49"/>
      <c r="S556" s="49"/>
      <c r="T556" s="49"/>
      <c r="U556" s="49"/>
      <c r="V556" s="49"/>
      <c r="W556" s="49"/>
      <c r="X556" s="49"/>
      <c r="Y556" s="49"/>
    </row>
    <row r="557" spans="1:25">
      <c r="A557" s="50"/>
      <c r="B557" s="177"/>
      <c r="C557" s="177"/>
      <c r="D557" s="177"/>
      <c r="E557" s="53"/>
      <c r="F557" s="49"/>
      <c r="G557" s="55"/>
      <c r="H557" s="178"/>
      <c r="I557" s="178"/>
      <c r="J557" s="178"/>
      <c r="K557" s="56"/>
      <c r="L557" s="49"/>
      <c r="M557" s="60"/>
      <c r="N557" s="179"/>
      <c r="O557" s="179"/>
      <c r="P557" s="179"/>
      <c r="Q557" s="61"/>
      <c r="R557" s="49"/>
      <c r="S557" s="49"/>
      <c r="T557" s="49"/>
      <c r="U557" s="49"/>
      <c r="V557" s="49"/>
      <c r="W557" s="49"/>
      <c r="X557" s="49"/>
      <c r="Y557" s="49"/>
    </row>
    <row r="558" spans="1:25">
      <c r="A558" s="50"/>
      <c r="B558" s="177"/>
      <c r="C558" s="177"/>
      <c r="D558" s="177"/>
      <c r="E558" s="53"/>
      <c r="F558" s="49"/>
      <c r="G558" s="55"/>
      <c r="H558" s="178"/>
      <c r="I558" s="178"/>
      <c r="J558" s="178"/>
      <c r="K558" s="56"/>
      <c r="L558" s="49"/>
      <c r="M558" s="60"/>
      <c r="N558" s="179"/>
      <c r="O558" s="179"/>
      <c r="P558" s="179"/>
      <c r="Q558" s="61"/>
      <c r="R558" s="49"/>
      <c r="S558" s="49"/>
      <c r="T558" s="49"/>
      <c r="U558" s="49"/>
      <c r="V558" s="49"/>
      <c r="W558" s="49"/>
      <c r="X558" s="49"/>
      <c r="Y558" s="49"/>
    </row>
    <row r="559" spans="1:25">
      <c r="A559" s="50"/>
      <c r="B559" s="177"/>
      <c r="C559" s="177"/>
      <c r="D559" s="177"/>
      <c r="E559" s="53"/>
      <c r="F559" s="49"/>
      <c r="G559" s="55"/>
      <c r="H559" s="178"/>
      <c r="I559" s="178"/>
      <c r="J559" s="178"/>
      <c r="K559" s="56"/>
      <c r="L559" s="49"/>
      <c r="M559" s="60"/>
      <c r="N559" s="179"/>
      <c r="O559" s="179"/>
      <c r="P559" s="179"/>
      <c r="Q559" s="61"/>
      <c r="R559" s="49"/>
      <c r="S559" s="49"/>
      <c r="T559" s="49"/>
      <c r="U559" s="49"/>
      <c r="V559" s="49"/>
      <c r="W559" s="49"/>
      <c r="X559" s="49"/>
      <c r="Y559" s="49"/>
    </row>
    <row r="560" spans="1:25">
      <c r="A560" s="50"/>
      <c r="B560" s="177"/>
      <c r="C560" s="177"/>
      <c r="D560" s="177"/>
      <c r="E560" s="53"/>
      <c r="F560" s="49"/>
      <c r="G560" s="55"/>
      <c r="H560" s="178"/>
      <c r="I560" s="178"/>
      <c r="J560" s="178"/>
      <c r="K560" s="56"/>
      <c r="L560" s="49"/>
      <c r="M560" s="60"/>
      <c r="N560" s="179"/>
      <c r="O560" s="179"/>
      <c r="P560" s="179"/>
      <c r="Q560" s="61"/>
      <c r="R560" s="49"/>
      <c r="S560" s="49"/>
      <c r="T560" s="49"/>
      <c r="U560" s="49"/>
      <c r="V560" s="49"/>
      <c r="W560" s="49"/>
      <c r="X560" s="49"/>
      <c r="Y560" s="49"/>
    </row>
    <row r="561" spans="1:25">
      <c r="A561" s="50"/>
      <c r="B561" s="177"/>
      <c r="C561" s="177"/>
      <c r="D561" s="177"/>
      <c r="E561" s="53"/>
      <c r="F561" s="49"/>
      <c r="G561" s="55"/>
      <c r="H561" s="178"/>
      <c r="I561" s="178"/>
      <c r="J561" s="178"/>
      <c r="K561" s="56"/>
      <c r="L561" s="49"/>
      <c r="M561" s="60"/>
      <c r="N561" s="179"/>
      <c r="O561" s="179"/>
      <c r="P561" s="179"/>
      <c r="Q561" s="61"/>
      <c r="R561" s="49"/>
      <c r="S561" s="49"/>
      <c r="T561" s="49"/>
      <c r="U561" s="49"/>
      <c r="V561" s="49"/>
      <c r="W561" s="49"/>
      <c r="X561" s="49"/>
      <c r="Y561" s="49"/>
    </row>
    <row r="562" spans="1:25">
      <c r="A562" s="50"/>
      <c r="B562" s="177"/>
      <c r="C562" s="177"/>
      <c r="D562" s="177"/>
      <c r="E562" s="53"/>
      <c r="F562" s="49"/>
      <c r="G562" s="55"/>
      <c r="H562" s="178"/>
      <c r="I562" s="178"/>
      <c r="J562" s="178"/>
      <c r="K562" s="56"/>
      <c r="L562" s="49"/>
      <c r="M562" s="60"/>
      <c r="N562" s="179"/>
      <c r="O562" s="179"/>
      <c r="P562" s="179"/>
      <c r="Q562" s="61"/>
      <c r="R562" s="49"/>
      <c r="S562" s="49"/>
      <c r="T562" s="49"/>
      <c r="U562" s="49"/>
      <c r="V562" s="49"/>
      <c r="W562" s="49"/>
      <c r="X562" s="49"/>
      <c r="Y562" s="49"/>
    </row>
    <row r="563" spans="1:25">
      <c r="A563" s="50"/>
      <c r="B563" s="177"/>
      <c r="C563" s="177"/>
      <c r="D563" s="177"/>
      <c r="E563" s="53"/>
      <c r="F563" s="49"/>
      <c r="G563" s="55"/>
      <c r="H563" s="178"/>
      <c r="I563" s="178"/>
      <c r="J563" s="178"/>
      <c r="K563" s="56"/>
      <c r="L563" s="49"/>
      <c r="M563" s="60"/>
      <c r="N563" s="179"/>
      <c r="O563" s="179"/>
      <c r="P563" s="179"/>
      <c r="Q563" s="61"/>
      <c r="R563" s="49"/>
      <c r="S563" s="49"/>
      <c r="T563" s="49"/>
      <c r="U563" s="49"/>
      <c r="V563" s="49"/>
      <c r="W563" s="49"/>
      <c r="X563" s="49"/>
      <c r="Y563" s="49"/>
    </row>
    <row r="564" spans="1:25">
      <c r="A564" s="50"/>
      <c r="B564" s="177"/>
      <c r="C564" s="177"/>
      <c r="D564" s="177"/>
      <c r="E564" s="53"/>
      <c r="F564" s="49"/>
      <c r="G564" s="55"/>
      <c r="H564" s="178"/>
      <c r="I564" s="178"/>
      <c r="J564" s="178"/>
      <c r="K564" s="56"/>
      <c r="L564" s="49"/>
      <c r="M564" s="60"/>
      <c r="N564" s="179"/>
      <c r="O564" s="179"/>
      <c r="P564" s="179"/>
      <c r="Q564" s="61"/>
      <c r="R564" s="49"/>
      <c r="S564" s="49"/>
      <c r="T564" s="49"/>
      <c r="U564" s="49"/>
      <c r="V564" s="49"/>
      <c r="W564" s="49"/>
      <c r="X564" s="49"/>
      <c r="Y564" s="49"/>
    </row>
    <row r="565" spans="1:25">
      <c r="A565" s="50"/>
      <c r="B565" s="177"/>
      <c r="C565" s="177"/>
      <c r="D565" s="177"/>
      <c r="E565" s="53"/>
      <c r="F565" s="49"/>
      <c r="G565" s="55"/>
      <c r="H565" s="178"/>
      <c r="I565" s="178"/>
      <c r="J565" s="178"/>
      <c r="K565" s="56"/>
      <c r="L565" s="49"/>
      <c r="M565" s="60"/>
      <c r="N565" s="179"/>
      <c r="O565" s="179"/>
      <c r="P565" s="179"/>
      <c r="Q565" s="61"/>
      <c r="R565" s="49"/>
      <c r="S565" s="49"/>
      <c r="T565" s="49"/>
      <c r="U565" s="49"/>
      <c r="V565" s="49"/>
      <c r="W565" s="49"/>
      <c r="X565" s="49"/>
      <c r="Y565" s="49"/>
    </row>
    <row r="566" spans="1:25">
      <c r="A566" s="50"/>
      <c r="B566" s="177"/>
      <c r="C566" s="177"/>
      <c r="D566" s="177"/>
      <c r="E566" s="53"/>
      <c r="F566" s="49"/>
      <c r="G566" s="55"/>
      <c r="H566" s="178"/>
      <c r="I566" s="178"/>
      <c r="J566" s="178"/>
      <c r="K566" s="56"/>
      <c r="L566" s="49"/>
      <c r="M566" s="60"/>
      <c r="N566" s="179"/>
      <c r="O566" s="179"/>
      <c r="P566" s="179"/>
      <c r="Q566" s="61"/>
      <c r="R566" s="49"/>
      <c r="S566" s="49"/>
      <c r="T566" s="49"/>
      <c r="U566" s="49"/>
      <c r="V566" s="49"/>
      <c r="W566" s="49"/>
      <c r="X566" s="49"/>
      <c r="Y566" s="49"/>
    </row>
    <row r="567" spans="1:25">
      <c r="A567" s="50"/>
      <c r="B567" s="177"/>
      <c r="C567" s="177"/>
      <c r="D567" s="177"/>
      <c r="E567" s="53"/>
      <c r="F567" s="49"/>
      <c r="G567" s="55"/>
      <c r="H567" s="178"/>
      <c r="I567" s="178"/>
      <c r="J567" s="178"/>
      <c r="K567" s="56"/>
      <c r="L567" s="49"/>
      <c r="M567" s="60"/>
      <c r="N567" s="179"/>
      <c r="O567" s="179"/>
      <c r="P567" s="179"/>
      <c r="Q567" s="61"/>
      <c r="R567" s="49"/>
      <c r="S567" s="49"/>
      <c r="T567" s="49"/>
      <c r="U567" s="49"/>
      <c r="V567" s="49"/>
      <c r="W567" s="49"/>
      <c r="X567" s="49"/>
      <c r="Y567" s="49"/>
    </row>
    <row r="568" spans="1:25">
      <c r="A568" s="50"/>
      <c r="B568" s="177"/>
      <c r="C568" s="177"/>
      <c r="D568" s="177"/>
      <c r="E568" s="53"/>
      <c r="F568" s="49"/>
      <c r="G568" s="55"/>
      <c r="H568" s="178"/>
      <c r="I568" s="178"/>
      <c r="J568" s="178"/>
      <c r="K568" s="56"/>
      <c r="L568" s="49"/>
      <c r="M568" s="60"/>
      <c r="N568" s="179"/>
      <c r="O568" s="179"/>
      <c r="P568" s="179"/>
      <c r="Q568" s="61"/>
      <c r="R568" s="49"/>
      <c r="S568" s="49"/>
      <c r="T568" s="49"/>
      <c r="U568" s="49"/>
      <c r="V568" s="49"/>
      <c r="W568" s="49"/>
      <c r="X568" s="49"/>
      <c r="Y568" s="49"/>
    </row>
    <row r="569" spans="1:25">
      <c r="A569" s="50"/>
      <c r="B569" s="177"/>
      <c r="C569" s="177"/>
      <c r="D569" s="177"/>
      <c r="E569" s="53"/>
      <c r="F569" s="49"/>
      <c r="G569" s="55"/>
      <c r="H569" s="178"/>
      <c r="I569" s="178"/>
      <c r="J569" s="178"/>
      <c r="K569" s="56"/>
      <c r="L569" s="49"/>
      <c r="M569" s="60"/>
      <c r="N569" s="179"/>
      <c r="O569" s="179"/>
      <c r="P569" s="179"/>
      <c r="Q569" s="61"/>
      <c r="R569" s="49"/>
      <c r="S569" s="49"/>
      <c r="T569" s="49"/>
      <c r="U569" s="49"/>
      <c r="V569" s="49"/>
      <c r="W569" s="49"/>
      <c r="X569" s="49"/>
      <c r="Y569" s="49"/>
    </row>
    <row r="570" spans="1:25">
      <c r="A570" s="50"/>
      <c r="B570" s="177"/>
      <c r="C570" s="177"/>
      <c r="D570" s="177"/>
      <c r="E570" s="53"/>
      <c r="F570" s="49"/>
      <c r="G570" s="55"/>
      <c r="H570" s="178"/>
      <c r="I570" s="178"/>
      <c r="J570" s="178"/>
      <c r="K570" s="56"/>
      <c r="L570" s="49"/>
      <c r="M570" s="60"/>
      <c r="N570" s="179"/>
      <c r="O570" s="179"/>
      <c r="P570" s="179"/>
      <c r="Q570" s="61"/>
      <c r="R570" s="49"/>
      <c r="S570" s="49"/>
      <c r="T570" s="49"/>
      <c r="U570" s="49"/>
      <c r="V570" s="49"/>
      <c r="W570" s="49"/>
      <c r="X570" s="49"/>
      <c r="Y570" s="49"/>
    </row>
    <row r="571" spans="1:25">
      <c r="A571" s="50"/>
      <c r="B571" s="177"/>
      <c r="C571" s="177"/>
      <c r="D571" s="177"/>
      <c r="E571" s="53"/>
      <c r="F571" s="49"/>
      <c r="G571" s="55"/>
      <c r="H571" s="178"/>
      <c r="I571" s="178"/>
      <c r="J571" s="178"/>
      <c r="K571" s="56"/>
      <c r="L571" s="49"/>
      <c r="M571" s="60"/>
      <c r="N571" s="179"/>
      <c r="O571" s="179"/>
      <c r="P571" s="179"/>
      <c r="Q571" s="61"/>
      <c r="R571" s="49"/>
      <c r="S571" s="49"/>
      <c r="T571" s="49"/>
      <c r="U571" s="49"/>
      <c r="V571" s="49"/>
      <c r="W571" s="49"/>
      <c r="X571" s="49"/>
      <c r="Y571" s="49"/>
    </row>
    <row r="572" spans="1:25">
      <c r="A572" s="50"/>
      <c r="B572" s="177"/>
      <c r="C572" s="177"/>
      <c r="D572" s="177"/>
      <c r="E572" s="53"/>
      <c r="F572" s="49"/>
      <c r="G572" s="55"/>
      <c r="H572" s="178"/>
      <c r="I572" s="178"/>
      <c r="J572" s="178"/>
      <c r="K572" s="56"/>
      <c r="L572" s="49"/>
      <c r="M572" s="60"/>
      <c r="N572" s="179"/>
      <c r="O572" s="179"/>
      <c r="P572" s="179"/>
      <c r="Q572" s="61"/>
      <c r="R572" s="49"/>
      <c r="S572" s="49"/>
      <c r="T572" s="49"/>
      <c r="U572" s="49"/>
      <c r="V572" s="49"/>
      <c r="W572" s="49"/>
      <c r="X572" s="49"/>
      <c r="Y572" s="49"/>
    </row>
    <row r="573" spans="1:25">
      <c r="A573" s="50"/>
      <c r="B573" s="177"/>
      <c r="C573" s="177"/>
      <c r="D573" s="177"/>
      <c r="E573" s="53"/>
      <c r="F573" s="49"/>
      <c r="G573" s="55"/>
      <c r="H573" s="178"/>
      <c r="I573" s="178"/>
      <c r="J573" s="178"/>
      <c r="K573" s="56"/>
      <c r="L573" s="49"/>
      <c r="M573" s="60"/>
      <c r="N573" s="179"/>
      <c r="O573" s="179"/>
      <c r="P573" s="179"/>
      <c r="Q573" s="61"/>
      <c r="R573" s="49"/>
      <c r="S573" s="49"/>
      <c r="T573" s="49"/>
      <c r="U573" s="49"/>
      <c r="V573" s="49"/>
      <c r="W573" s="49"/>
      <c r="X573" s="49"/>
      <c r="Y573" s="49"/>
    </row>
    <row r="574" spans="1:25">
      <c r="A574" s="50"/>
      <c r="B574" s="177"/>
      <c r="C574" s="177"/>
      <c r="D574" s="177"/>
      <c r="E574" s="53"/>
      <c r="F574" s="49"/>
      <c r="G574" s="55"/>
      <c r="H574" s="178"/>
      <c r="I574" s="178"/>
      <c r="J574" s="178"/>
      <c r="K574" s="56"/>
      <c r="L574" s="49"/>
      <c r="M574" s="60"/>
      <c r="N574" s="179"/>
      <c r="O574" s="179"/>
      <c r="P574" s="179"/>
      <c r="Q574" s="61"/>
      <c r="R574" s="49"/>
      <c r="S574" s="49"/>
      <c r="T574" s="49"/>
      <c r="U574" s="49"/>
      <c r="V574" s="49"/>
      <c r="W574" s="49"/>
      <c r="X574" s="49"/>
      <c r="Y574" s="49"/>
    </row>
    <row r="575" spans="1:25">
      <c r="A575" s="50"/>
      <c r="B575" s="177"/>
      <c r="C575" s="177"/>
      <c r="D575" s="177"/>
      <c r="E575" s="53"/>
      <c r="F575" s="49"/>
      <c r="G575" s="55"/>
      <c r="H575" s="178"/>
      <c r="I575" s="178"/>
      <c r="J575" s="178"/>
      <c r="K575" s="56"/>
      <c r="L575" s="49"/>
      <c r="M575" s="60"/>
      <c r="N575" s="179"/>
      <c r="O575" s="179"/>
      <c r="P575" s="179"/>
      <c r="Q575" s="61"/>
      <c r="R575" s="49"/>
      <c r="S575" s="49"/>
      <c r="T575" s="49"/>
      <c r="U575" s="49"/>
      <c r="V575" s="49"/>
      <c r="W575" s="49"/>
      <c r="X575" s="49"/>
      <c r="Y575" s="49"/>
    </row>
    <row r="576" spans="1:25">
      <c r="A576" s="50"/>
      <c r="B576" s="177"/>
      <c r="C576" s="177"/>
      <c r="D576" s="177"/>
      <c r="E576" s="53"/>
      <c r="F576" s="49"/>
      <c r="G576" s="55"/>
      <c r="H576" s="178"/>
      <c r="I576" s="178"/>
      <c r="J576" s="178"/>
      <c r="K576" s="56"/>
      <c r="L576" s="49"/>
      <c r="M576" s="60"/>
      <c r="N576" s="179"/>
      <c r="O576" s="179"/>
      <c r="P576" s="179"/>
      <c r="Q576" s="61"/>
      <c r="R576" s="49"/>
      <c r="S576" s="49"/>
      <c r="T576" s="49"/>
      <c r="U576" s="49"/>
      <c r="V576" s="49"/>
      <c r="W576" s="49"/>
      <c r="X576" s="49"/>
      <c r="Y576" s="49"/>
    </row>
    <row r="577" spans="1:25">
      <c r="A577" s="50"/>
      <c r="B577" s="177"/>
      <c r="C577" s="177"/>
      <c r="D577" s="177"/>
      <c r="E577" s="53"/>
      <c r="F577" s="49"/>
      <c r="G577" s="55"/>
      <c r="H577" s="178"/>
      <c r="I577" s="178"/>
      <c r="J577" s="178"/>
      <c r="K577" s="56"/>
      <c r="L577" s="49"/>
      <c r="M577" s="60"/>
      <c r="N577" s="179"/>
      <c r="O577" s="179"/>
      <c r="P577" s="179"/>
      <c r="Q577" s="61"/>
      <c r="R577" s="49"/>
      <c r="S577" s="49"/>
      <c r="T577" s="49"/>
      <c r="U577" s="49"/>
      <c r="V577" s="49"/>
      <c r="W577" s="49"/>
      <c r="X577" s="49"/>
      <c r="Y577" s="49"/>
    </row>
    <row r="578" spans="1:25">
      <c r="A578" s="50"/>
      <c r="B578" s="177"/>
      <c r="C578" s="177"/>
      <c r="D578" s="177"/>
      <c r="E578" s="53"/>
      <c r="F578" s="49"/>
      <c r="G578" s="55"/>
      <c r="H578" s="178"/>
      <c r="I578" s="178"/>
      <c r="J578" s="178"/>
      <c r="K578" s="56"/>
      <c r="L578" s="49"/>
      <c r="M578" s="60"/>
      <c r="N578" s="179"/>
      <c r="O578" s="179"/>
      <c r="P578" s="179"/>
      <c r="Q578" s="61"/>
      <c r="R578" s="49"/>
      <c r="S578" s="49"/>
      <c r="T578" s="49"/>
      <c r="U578" s="49"/>
      <c r="V578" s="49"/>
      <c r="W578" s="49"/>
      <c r="X578" s="49"/>
      <c r="Y578" s="49"/>
    </row>
    <row r="579" spans="1:25">
      <c r="A579" s="50"/>
      <c r="B579" s="177"/>
      <c r="C579" s="177"/>
      <c r="D579" s="177"/>
      <c r="E579" s="53"/>
      <c r="F579" s="49"/>
      <c r="G579" s="55"/>
      <c r="H579" s="178"/>
      <c r="I579" s="178"/>
      <c r="J579" s="178"/>
      <c r="K579" s="56"/>
      <c r="L579" s="49"/>
      <c r="M579" s="60"/>
      <c r="N579" s="179"/>
      <c r="O579" s="179"/>
      <c r="P579" s="179"/>
      <c r="Q579" s="61"/>
      <c r="R579" s="49"/>
      <c r="S579" s="49"/>
      <c r="T579" s="49"/>
      <c r="U579" s="49"/>
      <c r="V579" s="49"/>
      <c r="W579" s="49"/>
      <c r="X579" s="49"/>
      <c r="Y579" s="49"/>
    </row>
    <row r="580" spans="1:25">
      <c r="A580" s="50"/>
      <c r="B580" s="177"/>
      <c r="C580" s="177"/>
      <c r="D580" s="177"/>
      <c r="E580" s="53"/>
      <c r="F580" s="49"/>
      <c r="G580" s="55"/>
      <c r="H580" s="178"/>
      <c r="I580" s="178"/>
      <c r="J580" s="178"/>
      <c r="K580" s="56"/>
      <c r="L580" s="49"/>
      <c r="M580" s="60"/>
      <c r="N580" s="179"/>
      <c r="O580" s="179"/>
      <c r="P580" s="179"/>
      <c r="Q580" s="61"/>
      <c r="R580" s="49"/>
      <c r="S580" s="49"/>
      <c r="T580" s="49"/>
      <c r="U580" s="49"/>
      <c r="V580" s="49"/>
      <c r="W580" s="49"/>
      <c r="X580" s="49"/>
      <c r="Y580" s="49"/>
    </row>
    <row r="581" spans="1:25">
      <c r="A581" s="50"/>
      <c r="B581" s="177"/>
      <c r="C581" s="177"/>
      <c r="D581" s="177"/>
      <c r="E581" s="53"/>
      <c r="F581" s="49"/>
      <c r="G581" s="55"/>
      <c r="H581" s="178"/>
      <c r="I581" s="178"/>
      <c r="J581" s="178"/>
      <c r="K581" s="56"/>
      <c r="L581" s="49"/>
      <c r="M581" s="60"/>
      <c r="N581" s="179"/>
      <c r="O581" s="179"/>
      <c r="P581" s="179"/>
      <c r="Q581" s="61"/>
      <c r="R581" s="49"/>
      <c r="S581" s="49"/>
      <c r="T581" s="49"/>
      <c r="U581" s="49"/>
      <c r="V581" s="49"/>
      <c r="W581" s="49"/>
      <c r="X581" s="49"/>
      <c r="Y581" s="49"/>
    </row>
    <row r="582" spans="1:25">
      <c r="A582" s="50"/>
      <c r="B582" s="177"/>
      <c r="C582" s="177"/>
      <c r="D582" s="177"/>
      <c r="E582" s="53"/>
      <c r="F582" s="49"/>
      <c r="G582" s="55"/>
      <c r="H582" s="178"/>
      <c r="I582" s="178"/>
      <c r="J582" s="178"/>
      <c r="K582" s="56"/>
      <c r="L582" s="49"/>
      <c r="M582" s="60"/>
      <c r="N582" s="179"/>
      <c r="O582" s="179"/>
      <c r="P582" s="179"/>
      <c r="Q582" s="61"/>
      <c r="R582" s="49"/>
      <c r="S582" s="49"/>
      <c r="T582" s="49"/>
      <c r="U582" s="49"/>
      <c r="V582" s="49"/>
      <c r="W582" s="49"/>
      <c r="X582" s="49"/>
      <c r="Y582" s="49"/>
    </row>
    <row r="583" spans="1:25">
      <c r="A583" s="50"/>
      <c r="B583" s="177"/>
      <c r="C583" s="177"/>
      <c r="D583" s="177"/>
      <c r="E583" s="53"/>
      <c r="F583" s="49"/>
      <c r="G583" s="55"/>
      <c r="H583" s="178"/>
      <c r="I583" s="178"/>
      <c r="J583" s="178"/>
      <c r="K583" s="56"/>
      <c r="L583" s="49"/>
      <c r="M583" s="60"/>
      <c r="N583" s="179"/>
      <c r="O583" s="179"/>
      <c r="P583" s="179"/>
      <c r="Q583" s="61"/>
      <c r="R583" s="49"/>
      <c r="S583" s="49"/>
      <c r="T583" s="49"/>
      <c r="U583" s="49"/>
      <c r="V583" s="49"/>
      <c r="W583" s="49"/>
      <c r="X583" s="49"/>
      <c r="Y583" s="49"/>
    </row>
    <row r="584" spans="1:25">
      <c r="A584" s="50"/>
      <c r="B584" s="177"/>
      <c r="C584" s="177"/>
      <c r="D584" s="177"/>
      <c r="E584" s="53"/>
      <c r="F584" s="49"/>
      <c r="G584" s="55"/>
      <c r="H584" s="178"/>
      <c r="I584" s="178"/>
      <c r="J584" s="178"/>
      <c r="K584" s="56"/>
      <c r="L584" s="49"/>
      <c r="M584" s="60"/>
      <c r="N584" s="179"/>
      <c r="O584" s="179"/>
      <c r="P584" s="179"/>
      <c r="Q584" s="61"/>
      <c r="R584" s="49"/>
      <c r="S584" s="49"/>
      <c r="T584" s="49"/>
      <c r="U584" s="49"/>
      <c r="V584" s="49"/>
      <c r="W584" s="49"/>
      <c r="X584" s="49"/>
      <c r="Y584" s="49"/>
    </row>
    <row r="585" spans="1:25">
      <c r="A585" s="50"/>
      <c r="B585" s="177"/>
      <c r="C585" s="177"/>
      <c r="D585" s="177"/>
      <c r="E585" s="53"/>
      <c r="F585" s="49"/>
      <c r="G585" s="55"/>
      <c r="H585" s="178"/>
      <c r="I585" s="178"/>
      <c r="J585" s="178"/>
      <c r="K585" s="56"/>
      <c r="L585" s="49"/>
      <c r="M585" s="60"/>
      <c r="N585" s="179"/>
      <c r="O585" s="179"/>
      <c r="P585" s="179"/>
      <c r="Q585" s="61"/>
      <c r="R585" s="49"/>
      <c r="S585" s="49"/>
      <c r="T585" s="49"/>
      <c r="U585" s="49"/>
      <c r="V585" s="49"/>
      <c r="W585" s="49"/>
      <c r="X585" s="49"/>
      <c r="Y585" s="49"/>
    </row>
    <row r="586" spans="1:25">
      <c r="A586" s="50"/>
      <c r="B586" s="177"/>
      <c r="C586" s="177"/>
      <c r="D586" s="177"/>
      <c r="E586" s="53"/>
      <c r="F586" s="49"/>
      <c r="G586" s="55"/>
      <c r="H586" s="178"/>
      <c r="I586" s="178"/>
      <c r="J586" s="178"/>
      <c r="K586" s="56"/>
      <c r="L586" s="49"/>
      <c r="M586" s="60"/>
      <c r="N586" s="179"/>
      <c r="O586" s="179"/>
      <c r="P586" s="179"/>
      <c r="Q586" s="61"/>
      <c r="R586" s="49"/>
      <c r="S586" s="49"/>
      <c r="T586" s="49"/>
      <c r="U586" s="49"/>
      <c r="V586" s="49"/>
      <c r="W586" s="49"/>
      <c r="X586" s="49"/>
      <c r="Y586" s="49"/>
    </row>
    <row r="587" spans="1:25">
      <c r="A587" s="50"/>
      <c r="B587" s="177"/>
      <c r="C587" s="177"/>
      <c r="D587" s="177"/>
      <c r="E587" s="53"/>
      <c r="F587" s="49"/>
      <c r="G587" s="55"/>
      <c r="H587" s="178"/>
      <c r="I587" s="178"/>
      <c r="J587" s="178"/>
      <c r="K587" s="56"/>
      <c r="L587" s="49"/>
      <c r="M587" s="60"/>
      <c r="N587" s="179"/>
      <c r="O587" s="179"/>
      <c r="P587" s="179"/>
      <c r="Q587" s="61"/>
      <c r="R587" s="49"/>
      <c r="S587" s="49"/>
      <c r="T587" s="49"/>
      <c r="U587" s="49"/>
      <c r="V587" s="49"/>
      <c r="W587" s="49"/>
      <c r="X587" s="49"/>
      <c r="Y587" s="49"/>
    </row>
    <row r="588" spans="1:25">
      <c r="A588" s="50"/>
      <c r="B588" s="177"/>
      <c r="C588" s="177"/>
      <c r="D588" s="177"/>
      <c r="E588" s="53"/>
      <c r="F588" s="49"/>
      <c r="G588" s="55"/>
      <c r="H588" s="178"/>
      <c r="I588" s="178"/>
      <c r="J588" s="178"/>
      <c r="K588" s="56"/>
      <c r="L588" s="49"/>
      <c r="M588" s="60"/>
      <c r="N588" s="179"/>
      <c r="O588" s="179"/>
      <c r="P588" s="179"/>
      <c r="Q588" s="61"/>
      <c r="R588" s="49"/>
      <c r="S588" s="49"/>
      <c r="T588" s="49"/>
      <c r="U588" s="49"/>
      <c r="V588" s="49"/>
      <c r="W588" s="49"/>
      <c r="X588" s="49"/>
      <c r="Y588" s="49"/>
    </row>
    <row r="589" spans="1:25">
      <c r="A589" s="50"/>
      <c r="B589" s="177"/>
      <c r="C589" s="177"/>
      <c r="D589" s="177"/>
      <c r="E589" s="53"/>
      <c r="F589" s="49"/>
      <c r="G589" s="55"/>
      <c r="H589" s="178"/>
      <c r="I589" s="178"/>
      <c r="J589" s="178"/>
      <c r="K589" s="56"/>
      <c r="L589" s="49"/>
      <c r="M589" s="60"/>
      <c r="N589" s="179"/>
      <c r="O589" s="179"/>
      <c r="P589" s="179"/>
      <c r="Q589" s="61"/>
      <c r="R589" s="49"/>
      <c r="S589" s="49"/>
      <c r="T589" s="49"/>
      <c r="U589" s="49"/>
      <c r="V589" s="49"/>
      <c r="W589" s="49"/>
      <c r="X589" s="49"/>
      <c r="Y589" s="49"/>
    </row>
    <row r="590" spans="1:25">
      <c r="A590" s="50"/>
      <c r="B590" s="177"/>
      <c r="C590" s="177"/>
      <c r="D590" s="177"/>
      <c r="E590" s="53"/>
      <c r="F590" s="49"/>
      <c r="G590" s="55"/>
      <c r="H590" s="178"/>
      <c r="I590" s="178"/>
      <c r="J590" s="178"/>
      <c r="K590" s="56"/>
      <c r="L590" s="49"/>
      <c r="M590" s="60"/>
      <c r="N590" s="179"/>
      <c r="O590" s="179"/>
      <c r="P590" s="179"/>
      <c r="Q590" s="61"/>
      <c r="R590" s="49"/>
      <c r="S590" s="49"/>
      <c r="T590" s="49"/>
      <c r="U590" s="49"/>
      <c r="V590" s="49"/>
      <c r="W590" s="49"/>
      <c r="X590" s="49"/>
      <c r="Y590" s="49"/>
    </row>
    <row r="591" spans="1:25">
      <c r="A591" s="50"/>
      <c r="B591" s="177"/>
      <c r="C591" s="177"/>
      <c r="D591" s="177"/>
      <c r="E591" s="53"/>
      <c r="F591" s="49"/>
      <c r="G591" s="55"/>
      <c r="H591" s="178"/>
      <c r="I591" s="178"/>
      <c r="J591" s="178"/>
      <c r="K591" s="56"/>
      <c r="L591" s="49"/>
      <c r="M591" s="60"/>
      <c r="N591" s="179"/>
      <c r="O591" s="179"/>
      <c r="P591" s="179"/>
      <c r="Q591" s="61"/>
      <c r="R591" s="49"/>
      <c r="S591" s="49"/>
      <c r="T591" s="49"/>
      <c r="U591" s="49"/>
      <c r="V591" s="49"/>
      <c r="W591" s="49"/>
      <c r="X591" s="49"/>
      <c r="Y591" s="49"/>
    </row>
    <row r="592" spans="1:25">
      <c r="A592" s="50"/>
      <c r="B592" s="177"/>
      <c r="C592" s="177"/>
      <c r="D592" s="177"/>
      <c r="E592" s="53"/>
      <c r="F592" s="49"/>
      <c r="G592" s="55"/>
      <c r="H592" s="178"/>
      <c r="I592" s="178"/>
      <c r="J592" s="178"/>
      <c r="K592" s="56"/>
      <c r="L592" s="49"/>
      <c r="M592" s="60"/>
      <c r="N592" s="179"/>
      <c r="O592" s="179"/>
      <c r="P592" s="179"/>
      <c r="Q592" s="61"/>
      <c r="R592" s="49"/>
      <c r="S592" s="49"/>
      <c r="T592" s="49"/>
      <c r="U592" s="49"/>
      <c r="V592" s="49"/>
      <c r="W592" s="49"/>
      <c r="X592" s="49"/>
      <c r="Y592" s="49"/>
    </row>
    <row r="593" spans="1:25">
      <c r="A593" s="50"/>
      <c r="B593" s="177"/>
      <c r="C593" s="177"/>
      <c r="D593" s="177"/>
      <c r="E593" s="53"/>
      <c r="F593" s="49"/>
      <c r="G593" s="55"/>
      <c r="H593" s="178"/>
      <c r="I593" s="178"/>
      <c r="J593" s="178"/>
      <c r="K593" s="56"/>
      <c r="L593" s="49"/>
      <c r="M593" s="60"/>
      <c r="N593" s="179"/>
      <c r="O593" s="179"/>
      <c r="P593" s="179"/>
      <c r="Q593" s="61"/>
      <c r="R593" s="49"/>
      <c r="S593" s="49"/>
      <c r="T593" s="49"/>
      <c r="U593" s="49"/>
      <c r="V593" s="49"/>
      <c r="W593" s="49"/>
      <c r="X593" s="49"/>
      <c r="Y593" s="49"/>
    </row>
    <row r="594" spans="1:25">
      <c r="A594" s="50"/>
      <c r="B594" s="177"/>
      <c r="C594" s="177"/>
      <c r="D594" s="177"/>
      <c r="E594" s="53"/>
      <c r="F594" s="49"/>
      <c r="G594" s="55"/>
      <c r="H594" s="178"/>
      <c r="I594" s="178"/>
      <c r="J594" s="178"/>
      <c r="K594" s="56"/>
      <c r="L594" s="49"/>
      <c r="M594" s="60"/>
      <c r="N594" s="179"/>
      <c r="O594" s="179"/>
      <c r="P594" s="179"/>
      <c r="Q594" s="61"/>
      <c r="R594" s="49"/>
      <c r="S594" s="49"/>
      <c r="T594" s="49"/>
      <c r="U594" s="49"/>
      <c r="V594" s="49"/>
      <c r="W594" s="49"/>
      <c r="X594" s="49"/>
      <c r="Y594" s="49"/>
    </row>
    <row r="595" spans="1:25">
      <c r="A595" s="50"/>
      <c r="B595" s="177"/>
      <c r="C595" s="177"/>
      <c r="D595" s="177"/>
      <c r="E595" s="53"/>
      <c r="F595" s="49"/>
      <c r="G595" s="55"/>
      <c r="H595" s="178"/>
      <c r="I595" s="178"/>
      <c r="J595" s="178"/>
      <c r="K595" s="56"/>
      <c r="L595" s="49"/>
      <c r="M595" s="60"/>
      <c r="N595" s="179"/>
      <c r="O595" s="179"/>
      <c r="P595" s="179"/>
      <c r="Q595" s="61"/>
      <c r="R595" s="49"/>
      <c r="S595" s="49"/>
      <c r="T595" s="49"/>
      <c r="U595" s="49"/>
      <c r="V595" s="49"/>
      <c r="W595" s="49"/>
      <c r="X595" s="49"/>
      <c r="Y595" s="49"/>
    </row>
    <row r="596" spans="1:25">
      <c r="A596" s="50"/>
      <c r="B596" s="177"/>
      <c r="C596" s="177"/>
      <c r="D596" s="177"/>
      <c r="E596" s="53"/>
      <c r="F596" s="49"/>
      <c r="G596" s="55"/>
      <c r="H596" s="178"/>
      <c r="I596" s="178"/>
      <c r="J596" s="178"/>
      <c r="K596" s="56"/>
      <c r="L596" s="49"/>
      <c r="M596" s="60"/>
      <c r="N596" s="179"/>
      <c r="O596" s="179"/>
      <c r="P596" s="179"/>
      <c r="Q596" s="61"/>
      <c r="R596" s="49"/>
      <c r="S596" s="49"/>
      <c r="T596" s="49"/>
      <c r="U596" s="49"/>
      <c r="V596" s="49"/>
      <c r="W596" s="49"/>
      <c r="X596" s="49"/>
      <c r="Y596" s="49"/>
    </row>
    <row r="597" spans="1:25">
      <c r="A597" s="50"/>
      <c r="B597" s="177"/>
      <c r="C597" s="177"/>
      <c r="D597" s="177"/>
      <c r="E597" s="53"/>
      <c r="F597" s="49"/>
      <c r="G597" s="55"/>
      <c r="H597" s="178"/>
      <c r="I597" s="178"/>
      <c r="J597" s="178"/>
      <c r="K597" s="56"/>
      <c r="L597" s="49"/>
      <c r="M597" s="60"/>
      <c r="N597" s="179"/>
      <c r="O597" s="179"/>
      <c r="P597" s="179"/>
      <c r="Q597" s="61"/>
      <c r="R597" s="49"/>
      <c r="S597" s="49"/>
      <c r="T597" s="49"/>
      <c r="U597" s="49"/>
      <c r="V597" s="49"/>
      <c r="W597" s="49"/>
      <c r="X597" s="49"/>
      <c r="Y597" s="49"/>
    </row>
    <row r="598" spans="1:25">
      <c r="A598" s="50"/>
      <c r="B598" s="177"/>
      <c r="C598" s="177"/>
      <c r="D598" s="177"/>
      <c r="E598" s="53"/>
      <c r="F598" s="49"/>
      <c r="G598" s="55"/>
      <c r="H598" s="178"/>
      <c r="I598" s="178"/>
      <c r="J598" s="178"/>
      <c r="K598" s="56"/>
      <c r="L598" s="49"/>
      <c r="M598" s="60"/>
      <c r="N598" s="179"/>
      <c r="O598" s="179"/>
      <c r="P598" s="179"/>
      <c r="Q598" s="61"/>
      <c r="R598" s="49"/>
      <c r="S598" s="49"/>
      <c r="T598" s="49"/>
      <c r="U598" s="49"/>
      <c r="V598" s="49"/>
      <c r="W598" s="49"/>
      <c r="X598" s="49"/>
      <c r="Y598" s="49"/>
    </row>
    <row r="599" spans="1:25">
      <c r="A599" s="50"/>
      <c r="B599" s="177"/>
      <c r="C599" s="177"/>
      <c r="D599" s="177"/>
      <c r="E599" s="53"/>
      <c r="F599" s="49"/>
      <c r="G599" s="55"/>
      <c r="H599" s="178"/>
      <c r="I599" s="178"/>
      <c r="J599" s="178"/>
      <c r="K599" s="56"/>
      <c r="L599" s="49"/>
      <c r="M599" s="60"/>
      <c r="N599" s="179"/>
      <c r="O599" s="179"/>
      <c r="P599" s="179"/>
      <c r="Q599" s="61"/>
      <c r="R599" s="49"/>
      <c r="S599" s="49"/>
      <c r="T599" s="49"/>
      <c r="U599" s="49"/>
      <c r="V599" s="49"/>
      <c r="W599" s="49"/>
      <c r="X599" s="49"/>
      <c r="Y599" s="49"/>
    </row>
    <row r="600" spans="1:25">
      <c r="A600" s="50"/>
      <c r="B600" s="177"/>
      <c r="C600" s="177"/>
      <c r="D600" s="177"/>
      <c r="E600" s="53"/>
      <c r="F600" s="49"/>
      <c r="G600" s="55"/>
      <c r="H600" s="178"/>
      <c r="I600" s="178"/>
      <c r="J600" s="178"/>
      <c r="K600" s="56"/>
      <c r="L600" s="49"/>
      <c r="M600" s="60"/>
      <c r="N600" s="179"/>
      <c r="O600" s="179"/>
      <c r="P600" s="179"/>
      <c r="Q600" s="61"/>
      <c r="R600" s="49"/>
      <c r="S600" s="49"/>
      <c r="T600" s="49"/>
      <c r="U600" s="49"/>
      <c r="V600" s="49"/>
      <c r="W600" s="49"/>
      <c r="X600" s="49"/>
      <c r="Y600" s="49"/>
    </row>
    <row r="601" spans="1:25">
      <c r="A601" s="50"/>
      <c r="B601" s="177"/>
      <c r="C601" s="177"/>
      <c r="D601" s="177"/>
      <c r="E601" s="53"/>
      <c r="F601" s="49"/>
      <c r="G601" s="55"/>
      <c r="H601" s="178"/>
      <c r="I601" s="178"/>
      <c r="J601" s="178"/>
      <c r="K601" s="56"/>
      <c r="L601" s="49"/>
      <c r="M601" s="60"/>
      <c r="N601" s="179"/>
      <c r="O601" s="179"/>
      <c r="P601" s="179"/>
      <c r="Q601" s="61"/>
      <c r="R601" s="49"/>
      <c r="S601" s="49"/>
      <c r="T601" s="49"/>
      <c r="U601" s="49"/>
      <c r="V601" s="49"/>
      <c r="W601" s="49"/>
      <c r="X601" s="49"/>
      <c r="Y601" s="49"/>
    </row>
    <row r="602" spans="1:25">
      <c r="A602" s="50"/>
      <c r="B602" s="177"/>
      <c r="C602" s="177"/>
      <c r="D602" s="177"/>
      <c r="E602" s="53"/>
      <c r="F602" s="49"/>
      <c r="G602" s="55"/>
      <c r="H602" s="178"/>
      <c r="I602" s="178"/>
      <c r="J602" s="178"/>
      <c r="K602" s="56"/>
      <c r="L602" s="49"/>
      <c r="M602" s="60"/>
      <c r="N602" s="179"/>
      <c r="O602" s="179"/>
      <c r="P602" s="179"/>
      <c r="Q602" s="61"/>
      <c r="R602" s="49"/>
      <c r="S602" s="49"/>
      <c r="T602" s="49"/>
      <c r="U602" s="49"/>
      <c r="V602" s="49"/>
      <c r="W602" s="49"/>
      <c r="X602" s="49"/>
      <c r="Y602" s="49"/>
    </row>
    <row r="603" spans="1:25">
      <c r="A603" s="50"/>
      <c r="B603" s="177"/>
      <c r="C603" s="177"/>
      <c r="D603" s="177"/>
      <c r="E603" s="53"/>
      <c r="F603" s="49"/>
      <c r="G603" s="55"/>
      <c r="H603" s="178"/>
      <c r="I603" s="178"/>
      <c r="J603" s="178"/>
      <c r="K603" s="56"/>
      <c r="L603" s="49"/>
      <c r="M603" s="60"/>
      <c r="N603" s="179"/>
      <c r="O603" s="179"/>
      <c r="P603" s="179"/>
      <c r="Q603" s="61"/>
      <c r="R603" s="49"/>
      <c r="S603" s="49"/>
      <c r="T603" s="49"/>
      <c r="U603" s="49"/>
      <c r="V603" s="49"/>
      <c r="W603" s="49"/>
      <c r="X603" s="49"/>
      <c r="Y603" s="49"/>
    </row>
    <row r="604" spans="1:25">
      <c r="A604" s="50"/>
      <c r="B604" s="177"/>
      <c r="C604" s="177"/>
      <c r="D604" s="177"/>
      <c r="E604" s="53"/>
      <c r="F604" s="49"/>
      <c r="G604" s="55"/>
      <c r="H604" s="178"/>
      <c r="I604" s="178"/>
      <c r="J604" s="178"/>
      <c r="K604" s="56"/>
      <c r="L604" s="49"/>
      <c r="M604" s="60"/>
      <c r="N604" s="179"/>
      <c r="O604" s="179"/>
      <c r="P604" s="179"/>
      <c r="Q604" s="61"/>
      <c r="R604" s="49"/>
      <c r="S604" s="49"/>
      <c r="T604" s="49"/>
      <c r="U604" s="49"/>
      <c r="V604" s="49"/>
      <c r="W604" s="49"/>
      <c r="X604" s="49"/>
      <c r="Y604" s="49"/>
    </row>
    <row r="605" spans="1:25">
      <c r="A605" s="50"/>
      <c r="B605" s="177"/>
      <c r="C605" s="177"/>
      <c r="D605" s="177"/>
      <c r="E605" s="53"/>
      <c r="F605" s="49"/>
      <c r="G605" s="55"/>
      <c r="H605" s="178"/>
      <c r="I605" s="178"/>
      <c r="J605" s="178"/>
      <c r="K605" s="56"/>
      <c r="L605" s="49"/>
      <c r="M605" s="60"/>
      <c r="N605" s="179"/>
      <c r="O605" s="179"/>
      <c r="P605" s="179"/>
      <c r="Q605" s="61"/>
      <c r="R605" s="49"/>
      <c r="S605" s="49"/>
      <c r="T605" s="49"/>
      <c r="U605" s="49"/>
      <c r="V605" s="49"/>
      <c r="W605" s="49"/>
      <c r="X605" s="49"/>
      <c r="Y605" s="49"/>
    </row>
    <row r="606" spans="1:25">
      <c r="A606" s="50"/>
      <c r="B606" s="177"/>
      <c r="C606" s="177"/>
      <c r="D606" s="177"/>
      <c r="E606" s="53"/>
      <c r="F606" s="49"/>
      <c r="G606" s="55"/>
      <c r="H606" s="178"/>
      <c r="I606" s="178"/>
      <c r="J606" s="178"/>
      <c r="K606" s="56"/>
      <c r="L606" s="49"/>
      <c r="M606" s="60"/>
      <c r="N606" s="179"/>
      <c r="O606" s="179"/>
      <c r="P606" s="179"/>
      <c r="Q606" s="61"/>
      <c r="R606" s="49"/>
      <c r="S606" s="49"/>
      <c r="T606" s="49"/>
      <c r="U606" s="49"/>
      <c r="V606" s="49"/>
      <c r="W606" s="49"/>
      <c r="X606" s="49"/>
      <c r="Y606" s="49"/>
    </row>
    <row r="607" spans="1:25">
      <c r="A607" s="50"/>
      <c r="B607" s="177"/>
      <c r="C607" s="177"/>
      <c r="D607" s="177"/>
      <c r="E607" s="53"/>
      <c r="F607" s="49"/>
      <c r="G607" s="55"/>
      <c r="H607" s="178"/>
      <c r="I607" s="178"/>
      <c r="J607" s="178"/>
      <c r="K607" s="56"/>
      <c r="L607" s="49"/>
      <c r="M607" s="60"/>
      <c r="N607" s="179"/>
      <c r="O607" s="179"/>
      <c r="P607" s="179"/>
      <c r="Q607" s="61"/>
      <c r="R607" s="49"/>
      <c r="S607" s="49"/>
      <c r="T607" s="49"/>
      <c r="U607" s="49"/>
      <c r="V607" s="49"/>
      <c r="W607" s="49"/>
      <c r="X607" s="49"/>
      <c r="Y607" s="49"/>
    </row>
    <row r="608" spans="1:25">
      <c r="A608" s="50"/>
      <c r="B608" s="177"/>
      <c r="C608" s="177"/>
      <c r="D608" s="177"/>
      <c r="E608" s="53"/>
      <c r="F608" s="49"/>
      <c r="G608" s="55"/>
      <c r="H608" s="178"/>
      <c r="I608" s="178"/>
      <c r="J608" s="178"/>
      <c r="K608" s="56"/>
      <c r="L608" s="49"/>
      <c r="M608" s="60"/>
      <c r="N608" s="179"/>
      <c r="O608" s="179"/>
      <c r="P608" s="179"/>
      <c r="Q608" s="61"/>
      <c r="R608" s="49"/>
      <c r="S608" s="49"/>
      <c r="T608" s="49"/>
      <c r="U608" s="49"/>
      <c r="V608" s="49"/>
      <c r="W608" s="49"/>
      <c r="X608" s="49"/>
      <c r="Y608" s="49"/>
    </row>
    <row r="609" spans="1:25">
      <c r="A609" s="50"/>
      <c r="B609" s="177"/>
      <c r="C609" s="177"/>
      <c r="D609" s="177"/>
      <c r="E609" s="53"/>
      <c r="F609" s="49"/>
      <c r="G609" s="55"/>
      <c r="H609" s="178"/>
      <c r="I609" s="178"/>
      <c r="J609" s="178"/>
      <c r="K609" s="56"/>
      <c r="L609" s="49"/>
      <c r="M609" s="60"/>
      <c r="N609" s="179"/>
      <c r="O609" s="179"/>
      <c r="P609" s="179"/>
      <c r="Q609" s="61"/>
      <c r="R609" s="49"/>
      <c r="S609" s="49"/>
      <c r="T609" s="49"/>
      <c r="U609" s="49"/>
      <c r="V609" s="49"/>
      <c r="W609" s="49"/>
      <c r="X609" s="49"/>
      <c r="Y609" s="49"/>
    </row>
    <row r="610" spans="1:25">
      <c r="A610" s="50"/>
      <c r="B610" s="177"/>
      <c r="C610" s="177"/>
      <c r="D610" s="177"/>
      <c r="E610" s="53"/>
      <c r="F610" s="49"/>
      <c r="G610" s="55"/>
      <c r="H610" s="178"/>
      <c r="I610" s="178"/>
      <c r="J610" s="178"/>
      <c r="K610" s="56"/>
      <c r="L610" s="49"/>
      <c r="M610" s="60"/>
      <c r="N610" s="179"/>
      <c r="O610" s="179"/>
      <c r="P610" s="179"/>
      <c r="Q610" s="61"/>
      <c r="R610" s="49"/>
      <c r="S610" s="49"/>
      <c r="T610" s="49"/>
      <c r="U610" s="49"/>
      <c r="V610" s="49"/>
      <c r="W610" s="49"/>
      <c r="X610" s="49"/>
      <c r="Y610" s="49"/>
    </row>
    <row r="611" spans="1:25">
      <c r="A611" s="50"/>
      <c r="B611" s="177"/>
      <c r="C611" s="177"/>
      <c r="D611" s="177"/>
      <c r="E611" s="53"/>
      <c r="F611" s="49"/>
      <c r="G611" s="55"/>
      <c r="H611" s="178"/>
      <c r="I611" s="178"/>
      <c r="J611" s="178"/>
      <c r="K611" s="56"/>
      <c r="L611" s="49"/>
      <c r="M611" s="60"/>
      <c r="N611" s="179"/>
      <c r="O611" s="179"/>
      <c r="P611" s="179"/>
      <c r="Q611" s="61"/>
      <c r="R611" s="49"/>
      <c r="S611" s="49"/>
      <c r="T611" s="49"/>
      <c r="U611" s="49"/>
      <c r="V611" s="49"/>
      <c r="W611" s="49"/>
      <c r="X611" s="49"/>
      <c r="Y611" s="49"/>
    </row>
    <row r="612" spans="1:25">
      <c r="A612" s="50"/>
      <c r="B612" s="177"/>
      <c r="C612" s="177"/>
      <c r="D612" s="177"/>
      <c r="E612" s="53"/>
      <c r="F612" s="49"/>
      <c r="G612" s="55"/>
      <c r="H612" s="178"/>
      <c r="I612" s="178"/>
      <c r="J612" s="178"/>
      <c r="K612" s="56"/>
      <c r="L612" s="49"/>
      <c r="M612" s="60"/>
      <c r="N612" s="179"/>
      <c r="O612" s="179"/>
      <c r="P612" s="179"/>
      <c r="Q612" s="61"/>
      <c r="R612" s="49"/>
      <c r="S612" s="49"/>
      <c r="T612" s="49"/>
      <c r="U612" s="49"/>
      <c r="V612" s="49"/>
      <c r="W612" s="49"/>
      <c r="X612" s="49"/>
      <c r="Y612" s="49"/>
    </row>
    <row r="613" spans="1:25">
      <c r="A613" s="50"/>
      <c r="B613" s="177"/>
      <c r="C613" s="177"/>
      <c r="D613" s="177"/>
      <c r="E613" s="53"/>
      <c r="F613" s="49"/>
      <c r="G613" s="55"/>
      <c r="H613" s="178"/>
      <c r="I613" s="178"/>
      <c r="J613" s="178"/>
      <c r="K613" s="56"/>
      <c r="L613" s="49"/>
      <c r="M613" s="60"/>
      <c r="N613" s="179"/>
      <c r="O613" s="179"/>
      <c r="P613" s="179"/>
      <c r="Q613" s="61"/>
      <c r="R613" s="49"/>
      <c r="S613" s="49"/>
      <c r="T613" s="49"/>
      <c r="U613" s="49"/>
      <c r="V613" s="49"/>
      <c r="W613" s="49"/>
      <c r="X613" s="49"/>
      <c r="Y613" s="49"/>
    </row>
    <row r="614" spans="1:25">
      <c r="A614" s="50"/>
      <c r="B614" s="177"/>
      <c r="C614" s="177"/>
      <c r="D614" s="177"/>
      <c r="E614" s="53"/>
      <c r="F614" s="49"/>
      <c r="G614" s="55"/>
      <c r="H614" s="178"/>
      <c r="I614" s="178"/>
      <c r="J614" s="178"/>
      <c r="K614" s="56"/>
      <c r="L614" s="49"/>
      <c r="M614" s="60"/>
      <c r="N614" s="179"/>
      <c r="O614" s="179"/>
      <c r="P614" s="179"/>
      <c r="Q614" s="61"/>
      <c r="R614" s="49"/>
      <c r="S614" s="49"/>
      <c r="T614" s="49"/>
      <c r="U614" s="49"/>
      <c r="V614" s="49"/>
      <c r="W614" s="49"/>
      <c r="X614" s="49"/>
      <c r="Y614" s="49"/>
    </row>
    <row r="615" spans="1:25">
      <c r="A615" s="50"/>
      <c r="B615" s="177"/>
      <c r="C615" s="177"/>
      <c r="D615" s="177"/>
      <c r="E615" s="53"/>
      <c r="F615" s="49"/>
      <c r="G615" s="55"/>
      <c r="H615" s="178"/>
      <c r="I615" s="178"/>
      <c r="J615" s="178"/>
      <c r="K615" s="56"/>
      <c r="L615" s="49"/>
      <c r="M615" s="60"/>
      <c r="N615" s="179"/>
      <c r="O615" s="179"/>
      <c r="P615" s="179"/>
      <c r="Q615" s="61"/>
      <c r="R615" s="49"/>
      <c r="S615" s="49"/>
      <c r="T615" s="49"/>
      <c r="U615" s="49"/>
      <c r="V615" s="49"/>
      <c r="W615" s="49"/>
      <c r="X615" s="49"/>
      <c r="Y615" s="49"/>
    </row>
    <row r="616" spans="1:25">
      <c r="A616" s="50"/>
      <c r="B616" s="177"/>
      <c r="C616" s="177"/>
      <c r="D616" s="177"/>
      <c r="E616" s="53"/>
      <c r="F616" s="49"/>
      <c r="G616" s="55"/>
      <c r="H616" s="178"/>
      <c r="I616" s="178"/>
      <c r="J616" s="178"/>
      <c r="K616" s="56"/>
      <c r="L616" s="49"/>
      <c r="M616" s="60"/>
      <c r="N616" s="179"/>
      <c r="O616" s="179"/>
      <c r="P616" s="179"/>
      <c r="Q616" s="61"/>
      <c r="R616" s="49"/>
      <c r="S616" s="49"/>
      <c r="T616" s="49"/>
      <c r="U616" s="49"/>
      <c r="V616" s="49"/>
      <c r="W616" s="49"/>
      <c r="X616" s="49"/>
      <c r="Y616" s="49"/>
    </row>
    <row r="617" spans="1:25">
      <c r="A617" s="50"/>
      <c r="B617" s="177"/>
      <c r="C617" s="177"/>
      <c r="D617" s="177"/>
      <c r="E617" s="53"/>
      <c r="F617" s="49"/>
      <c r="G617" s="55"/>
      <c r="H617" s="178"/>
      <c r="I617" s="178"/>
      <c r="J617" s="178"/>
      <c r="K617" s="56"/>
      <c r="L617" s="49"/>
      <c r="M617" s="60"/>
      <c r="N617" s="179"/>
      <c r="O617" s="179"/>
      <c r="P617" s="179"/>
      <c r="Q617" s="61"/>
      <c r="R617" s="49"/>
      <c r="S617" s="49"/>
      <c r="T617" s="49"/>
      <c r="U617" s="49"/>
      <c r="V617" s="49"/>
      <c r="W617" s="49"/>
      <c r="X617" s="49"/>
      <c r="Y617" s="49"/>
    </row>
    <row r="618" spans="1:25">
      <c r="A618" s="50"/>
      <c r="B618" s="177"/>
      <c r="C618" s="177"/>
      <c r="D618" s="177"/>
      <c r="E618" s="53"/>
      <c r="F618" s="49"/>
      <c r="G618" s="55"/>
      <c r="H618" s="178"/>
      <c r="I618" s="178"/>
      <c r="J618" s="178"/>
      <c r="K618" s="56"/>
      <c r="L618" s="49"/>
      <c r="M618" s="60"/>
      <c r="N618" s="179"/>
      <c r="O618" s="179"/>
      <c r="P618" s="179"/>
      <c r="Q618" s="61"/>
      <c r="R618" s="49"/>
      <c r="S618" s="49"/>
      <c r="T618" s="49"/>
      <c r="U618" s="49"/>
      <c r="V618" s="49"/>
      <c r="W618" s="49"/>
      <c r="X618" s="49"/>
      <c r="Y618" s="49"/>
    </row>
    <row r="619" spans="1:25">
      <c r="A619" s="50"/>
      <c r="B619" s="177"/>
      <c r="C619" s="177"/>
      <c r="D619" s="177"/>
      <c r="E619" s="53"/>
      <c r="F619" s="49"/>
      <c r="G619" s="55"/>
      <c r="H619" s="178"/>
      <c r="I619" s="178"/>
      <c r="J619" s="178"/>
      <c r="K619" s="56"/>
      <c r="L619" s="49"/>
      <c r="M619" s="60"/>
      <c r="N619" s="179"/>
      <c r="O619" s="179"/>
      <c r="P619" s="179"/>
      <c r="Q619" s="61"/>
      <c r="R619" s="49"/>
      <c r="S619" s="49"/>
      <c r="T619" s="49"/>
      <c r="U619" s="49"/>
      <c r="V619" s="49"/>
      <c r="W619" s="49"/>
      <c r="X619" s="49"/>
      <c r="Y619" s="49"/>
    </row>
    <row r="620" spans="1:25">
      <c r="A620" s="50"/>
      <c r="B620" s="177"/>
      <c r="C620" s="177"/>
      <c r="D620" s="177"/>
      <c r="E620" s="53"/>
      <c r="F620" s="49"/>
      <c r="G620" s="55"/>
      <c r="H620" s="178"/>
      <c r="I620" s="178"/>
      <c r="J620" s="178"/>
      <c r="K620" s="56"/>
      <c r="L620" s="49"/>
      <c r="M620" s="60"/>
      <c r="N620" s="179"/>
      <c r="O620" s="179"/>
      <c r="P620" s="179"/>
      <c r="Q620" s="61"/>
      <c r="R620" s="49"/>
      <c r="S620" s="49"/>
      <c r="T620" s="49"/>
      <c r="U620" s="49"/>
      <c r="V620" s="49"/>
      <c r="W620" s="49"/>
      <c r="X620" s="49"/>
      <c r="Y620" s="49"/>
    </row>
    <row r="621" spans="1:25">
      <c r="A621" s="50"/>
      <c r="B621" s="177"/>
      <c r="C621" s="177"/>
      <c r="D621" s="177"/>
      <c r="E621" s="53"/>
      <c r="F621" s="49"/>
      <c r="G621" s="55"/>
      <c r="H621" s="178"/>
      <c r="I621" s="178"/>
      <c r="J621" s="178"/>
      <c r="K621" s="56"/>
      <c r="L621" s="49"/>
      <c r="M621" s="60"/>
      <c r="N621" s="179"/>
      <c r="O621" s="179"/>
      <c r="P621" s="179"/>
      <c r="Q621" s="61"/>
      <c r="R621" s="49"/>
      <c r="S621" s="49"/>
      <c r="T621" s="49"/>
      <c r="U621" s="49"/>
      <c r="V621" s="49"/>
      <c r="W621" s="49"/>
      <c r="X621" s="49"/>
      <c r="Y621" s="49"/>
    </row>
    <row r="622" spans="1:25">
      <c r="A622" s="50"/>
      <c r="B622" s="177"/>
      <c r="C622" s="177"/>
      <c r="D622" s="177"/>
      <c r="E622" s="53"/>
      <c r="F622" s="49"/>
      <c r="G622" s="55"/>
      <c r="H622" s="178"/>
      <c r="I622" s="178"/>
      <c r="J622" s="178"/>
      <c r="K622" s="56"/>
      <c r="L622" s="49"/>
      <c r="M622" s="60"/>
      <c r="N622" s="179"/>
      <c r="O622" s="179"/>
      <c r="P622" s="179"/>
      <c r="Q622" s="61"/>
      <c r="R622" s="49"/>
      <c r="S622" s="49"/>
      <c r="T622" s="49"/>
      <c r="U622" s="49"/>
      <c r="V622" s="49"/>
      <c r="W622" s="49"/>
      <c r="X622" s="49"/>
      <c r="Y622" s="49"/>
    </row>
    <row r="623" spans="1:25">
      <c r="A623" s="50"/>
      <c r="B623" s="177"/>
      <c r="C623" s="177"/>
      <c r="D623" s="177"/>
      <c r="E623" s="53"/>
      <c r="F623" s="49"/>
      <c r="G623" s="55"/>
      <c r="H623" s="178"/>
      <c r="I623" s="178"/>
      <c r="J623" s="178"/>
      <c r="K623" s="56"/>
      <c r="L623" s="49"/>
      <c r="M623" s="60"/>
      <c r="N623" s="179"/>
      <c r="O623" s="179"/>
      <c r="P623" s="179"/>
      <c r="Q623" s="61"/>
      <c r="R623" s="49"/>
      <c r="S623" s="49"/>
      <c r="T623" s="49"/>
      <c r="U623" s="49"/>
      <c r="V623" s="49"/>
      <c r="W623" s="49"/>
      <c r="X623" s="49"/>
      <c r="Y623" s="49"/>
    </row>
    <row r="624" spans="1:25">
      <c r="A624" s="50"/>
      <c r="B624" s="177"/>
      <c r="C624" s="177"/>
      <c r="D624" s="177"/>
      <c r="E624" s="53"/>
      <c r="F624" s="49"/>
      <c r="G624" s="55"/>
      <c r="H624" s="178"/>
      <c r="I624" s="178"/>
      <c r="J624" s="178"/>
      <c r="K624" s="56"/>
      <c r="L624" s="49"/>
      <c r="M624" s="60"/>
      <c r="N624" s="179"/>
      <c r="O624" s="179"/>
      <c r="P624" s="179"/>
      <c r="Q624" s="61"/>
      <c r="R624" s="49"/>
      <c r="S624" s="49"/>
      <c r="T624" s="49"/>
      <c r="U624" s="49"/>
      <c r="V624" s="49"/>
      <c r="W624" s="49"/>
      <c r="X624" s="49"/>
      <c r="Y624" s="49"/>
    </row>
    <row r="625" spans="1:25">
      <c r="A625" s="50"/>
      <c r="B625" s="177"/>
      <c r="C625" s="177"/>
      <c r="D625" s="177"/>
      <c r="E625" s="53"/>
      <c r="F625" s="49"/>
      <c r="G625" s="55"/>
      <c r="H625" s="178"/>
      <c r="I625" s="178"/>
      <c r="J625" s="178"/>
      <c r="K625" s="56"/>
      <c r="L625" s="49"/>
      <c r="M625" s="60"/>
      <c r="N625" s="179"/>
      <c r="O625" s="179"/>
      <c r="P625" s="179"/>
      <c r="Q625" s="61"/>
      <c r="R625" s="49"/>
      <c r="S625" s="49"/>
      <c r="T625" s="49"/>
      <c r="U625" s="49"/>
      <c r="V625" s="49"/>
      <c r="W625" s="49"/>
      <c r="X625" s="49"/>
      <c r="Y625" s="49"/>
    </row>
    <row r="626" spans="1:25">
      <c r="A626" s="50"/>
      <c r="B626" s="177"/>
      <c r="C626" s="177"/>
      <c r="D626" s="177"/>
      <c r="E626" s="53"/>
      <c r="F626" s="49"/>
      <c r="G626" s="55"/>
      <c r="H626" s="178"/>
      <c r="I626" s="178"/>
      <c r="J626" s="178"/>
      <c r="K626" s="56"/>
      <c r="L626" s="49"/>
      <c r="M626" s="60"/>
      <c r="N626" s="179"/>
      <c r="O626" s="179"/>
      <c r="P626" s="179"/>
      <c r="Q626" s="61"/>
      <c r="R626" s="49"/>
      <c r="S626" s="49"/>
      <c r="T626" s="49"/>
      <c r="U626" s="49"/>
      <c r="V626" s="49"/>
      <c r="W626" s="49"/>
      <c r="X626" s="49"/>
      <c r="Y626" s="49"/>
    </row>
    <row r="627" spans="1:25">
      <c r="A627" s="50"/>
      <c r="B627" s="177"/>
      <c r="C627" s="177"/>
      <c r="D627" s="177"/>
      <c r="E627" s="53"/>
      <c r="F627" s="49"/>
      <c r="G627" s="55"/>
      <c r="H627" s="178"/>
      <c r="I627" s="178"/>
      <c r="J627" s="178"/>
      <c r="K627" s="56"/>
      <c r="L627" s="49"/>
      <c r="M627" s="60"/>
      <c r="N627" s="179"/>
      <c r="O627" s="179"/>
      <c r="P627" s="179"/>
      <c r="Q627" s="61"/>
      <c r="R627" s="49"/>
      <c r="S627" s="49"/>
      <c r="T627" s="49"/>
      <c r="U627" s="49"/>
      <c r="V627" s="49"/>
      <c r="W627" s="49"/>
      <c r="X627" s="49"/>
      <c r="Y627" s="49"/>
    </row>
    <row r="628" spans="1:25">
      <c r="A628" s="50"/>
      <c r="B628" s="177"/>
      <c r="C628" s="177"/>
      <c r="D628" s="177"/>
      <c r="E628" s="53"/>
      <c r="F628" s="49"/>
      <c r="G628" s="55"/>
      <c r="H628" s="178"/>
      <c r="I628" s="178"/>
      <c r="J628" s="178"/>
      <c r="K628" s="56"/>
      <c r="L628" s="49"/>
      <c r="M628" s="60"/>
      <c r="N628" s="179"/>
      <c r="O628" s="179"/>
      <c r="P628" s="179"/>
      <c r="Q628" s="61"/>
      <c r="R628" s="49"/>
      <c r="S628" s="49"/>
      <c r="T628" s="49"/>
      <c r="U628" s="49"/>
      <c r="V628" s="49"/>
      <c r="W628" s="49"/>
      <c r="X628" s="49"/>
      <c r="Y628" s="49"/>
    </row>
    <row r="629" spans="1:25">
      <c r="A629" s="50"/>
      <c r="B629" s="177"/>
      <c r="C629" s="177"/>
      <c r="D629" s="177"/>
      <c r="E629" s="53"/>
      <c r="F629" s="49"/>
      <c r="G629" s="55"/>
      <c r="H629" s="178"/>
      <c r="I629" s="178"/>
      <c r="J629" s="178"/>
      <c r="K629" s="56"/>
      <c r="L629" s="49"/>
      <c r="M629" s="60"/>
      <c r="N629" s="179"/>
      <c r="O629" s="179"/>
      <c r="P629" s="179"/>
      <c r="Q629" s="61"/>
      <c r="R629" s="49"/>
      <c r="S629" s="49"/>
      <c r="T629" s="49"/>
      <c r="U629" s="49"/>
      <c r="V629" s="49"/>
      <c r="W629" s="49"/>
      <c r="X629" s="49"/>
      <c r="Y629" s="49"/>
    </row>
    <row r="630" spans="1:25">
      <c r="A630" s="50"/>
      <c r="B630" s="177"/>
      <c r="C630" s="177"/>
      <c r="D630" s="177"/>
      <c r="E630" s="53"/>
      <c r="F630" s="49"/>
      <c r="G630" s="55"/>
      <c r="H630" s="178"/>
      <c r="I630" s="178"/>
      <c r="J630" s="178"/>
      <c r="K630" s="56"/>
      <c r="L630" s="49"/>
      <c r="M630" s="60"/>
      <c r="N630" s="179"/>
      <c r="O630" s="179"/>
      <c r="P630" s="179"/>
      <c r="Q630" s="61"/>
      <c r="R630" s="49"/>
      <c r="S630" s="49"/>
      <c r="T630" s="49"/>
      <c r="U630" s="49"/>
      <c r="V630" s="49"/>
      <c r="W630" s="49"/>
      <c r="X630" s="49"/>
      <c r="Y630" s="49"/>
    </row>
    <row r="631" spans="1:25">
      <c r="A631" s="50"/>
      <c r="B631" s="177"/>
      <c r="C631" s="177"/>
      <c r="D631" s="177"/>
      <c r="E631" s="53"/>
      <c r="F631" s="49"/>
      <c r="G631" s="55"/>
      <c r="H631" s="178"/>
      <c r="I631" s="178"/>
      <c r="J631" s="178"/>
      <c r="K631" s="56"/>
      <c r="L631" s="49"/>
      <c r="M631" s="60"/>
      <c r="N631" s="179"/>
      <c r="O631" s="179"/>
      <c r="P631" s="179"/>
      <c r="Q631" s="61"/>
      <c r="R631" s="49"/>
      <c r="S631" s="49"/>
      <c r="T631" s="49"/>
      <c r="U631" s="49"/>
      <c r="V631" s="49"/>
      <c r="W631" s="49"/>
      <c r="X631" s="49"/>
      <c r="Y631" s="49"/>
    </row>
    <row r="632" spans="1:25">
      <c r="A632" s="50"/>
      <c r="B632" s="177"/>
      <c r="C632" s="177"/>
      <c r="D632" s="177"/>
      <c r="E632" s="53"/>
      <c r="F632" s="49"/>
      <c r="G632" s="55"/>
      <c r="H632" s="178"/>
      <c r="I632" s="178"/>
      <c r="J632" s="178"/>
      <c r="K632" s="56"/>
      <c r="L632" s="49"/>
      <c r="M632" s="60"/>
      <c r="N632" s="179"/>
      <c r="O632" s="179"/>
      <c r="P632" s="179"/>
      <c r="Q632" s="61"/>
      <c r="R632" s="49"/>
      <c r="S632" s="49"/>
      <c r="T632" s="49"/>
      <c r="U632" s="49"/>
      <c r="V632" s="49"/>
      <c r="W632" s="49"/>
      <c r="X632" s="49"/>
      <c r="Y632" s="49"/>
    </row>
    <row r="633" spans="1:25">
      <c r="A633" s="50"/>
      <c r="B633" s="177"/>
      <c r="C633" s="177"/>
      <c r="D633" s="177"/>
      <c r="E633" s="53"/>
      <c r="F633" s="49"/>
      <c r="G633" s="55"/>
      <c r="H633" s="178"/>
      <c r="I633" s="178"/>
      <c r="J633" s="178"/>
      <c r="K633" s="56"/>
      <c r="L633" s="49"/>
      <c r="M633" s="60"/>
      <c r="N633" s="179"/>
      <c r="O633" s="179"/>
      <c r="P633" s="179"/>
      <c r="Q633" s="61"/>
      <c r="R633" s="49"/>
      <c r="S633" s="49"/>
      <c r="T633" s="49"/>
      <c r="U633" s="49"/>
      <c r="V633" s="49"/>
      <c r="W633" s="49"/>
      <c r="X633" s="49"/>
      <c r="Y633" s="49"/>
    </row>
    <row r="634" spans="1:25" ht="15.75" thickBot="1">
      <c r="A634" s="51"/>
      <c r="B634" s="52"/>
      <c r="C634" s="52"/>
      <c r="D634" s="52"/>
      <c r="E634" s="54"/>
      <c r="F634" s="49"/>
      <c r="G634" s="57"/>
      <c r="H634" s="58"/>
      <c r="I634" s="58"/>
      <c r="J634" s="58"/>
      <c r="K634" s="59"/>
      <c r="L634" s="49"/>
      <c r="M634" s="62"/>
      <c r="N634" s="63"/>
      <c r="O634" s="63"/>
      <c r="P634" s="63"/>
      <c r="Q634" s="64"/>
      <c r="R634" s="49"/>
      <c r="S634" s="49"/>
      <c r="T634" s="49"/>
      <c r="U634" s="49"/>
      <c r="V634" s="49"/>
      <c r="W634" s="49"/>
      <c r="X634" s="49"/>
      <c r="Y634" s="49"/>
    </row>
    <row r="635" spans="1:25" ht="15.75" thickTop="1"/>
  </sheetData>
  <mergeCells count="97">
    <mergeCell ref="A3:E3"/>
    <mergeCell ref="G3:K3"/>
    <mergeCell ref="B349:D349"/>
    <mergeCell ref="B314:D314"/>
    <mergeCell ref="B321:D321"/>
    <mergeCell ref="B328:D328"/>
    <mergeCell ref="B335:D335"/>
    <mergeCell ref="B342:D342"/>
    <mergeCell ref="H153:J153"/>
    <mergeCell ref="B279:D279"/>
    <mergeCell ref="B251:D251"/>
    <mergeCell ref="B258:D258"/>
    <mergeCell ref="H160:J160"/>
    <mergeCell ref="B265:D265"/>
    <mergeCell ref="B272:D272"/>
    <mergeCell ref="B216:D216"/>
    <mergeCell ref="B223:D223"/>
    <mergeCell ref="B230:D230"/>
    <mergeCell ref="B237:D237"/>
    <mergeCell ref="B244:D244"/>
    <mergeCell ref="H195:J195"/>
    <mergeCell ref="H202:J202"/>
    <mergeCell ref="B209:D209"/>
    <mergeCell ref="A1:Q1"/>
    <mergeCell ref="A2:E2"/>
    <mergeCell ref="G2:K2"/>
    <mergeCell ref="M2:Q2"/>
    <mergeCell ref="H132:J132"/>
    <mergeCell ref="H55:J55"/>
    <mergeCell ref="H62:J62"/>
    <mergeCell ref="H41:J41"/>
    <mergeCell ref="H69:J69"/>
    <mergeCell ref="H76:J76"/>
    <mergeCell ref="H83:J83"/>
    <mergeCell ref="H90:J90"/>
    <mergeCell ref="H97:J97"/>
    <mergeCell ref="H104:J104"/>
    <mergeCell ref="H111:J111"/>
    <mergeCell ref="H118:J118"/>
    <mergeCell ref="B139:D139"/>
    <mergeCell ref="B69:D69"/>
    <mergeCell ref="H6:J6"/>
    <mergeCell ref="H13:J13"/>
    <mergeCell ref="H20:J20"/>
    <mergeCell ref="H27:J27"/>
    <mergeCell ref="B6:D6"/>
    <mergeCell ref="H34:J34"/>
    <mergeCell ref="H48:J48"/>
    <mergeCell ref="H125:J125"/>
    <mergeCell ref="B104:D104"/>
    <mergeCell ref="B111:D111"/>
    <mergeCell ref="B118:D118"/>
    <mergeCell ref="B125:D125"/>
    <mergeCell ref="B132:D132"/>
    <mergeCell ref="H167:J167"/>
    <mergeCell ref="H174:J174"/>
    <mergeCell ref="H181:J181"/>
    <mergeCell ref="B13:D13"/>
    <mergeCell ref="H188:J188"/>
    <mergeCell ref="B20:D20"/>
    <mergeCell ref="B27:D27"/>
    <mergeCell ref="B34:D34"/>
    <mergeCell ref="B41:D41"/>
    <mergeCell ref="B48:D48"/>
    <mergeCell ref="B55:D55"/>
    <mergeCell ref="B62:D62"/>
    <mergeCell ref="B76:D76"/>
    <mergeCell ref="B83:D83"/>
    <mergeCell ref="B90:D90"/>
    <mergeCell ref="B97:D97"/>
    <mergeCell ref="B356:D356"/>
    <mergeCell ref="B363:D363"/>
    <mergeCell ref="B370:D370"/>
    <mergeCell ref="B377:D377"/>
    <mergeCell ref="B426:D426"/>
    <mergeCell ref="B419:D419"/>
    <mergeCell ref="B384:D384"/>
    <mergeCell ref="B391:D391"/>
    <mergeCell ref="B398:D398"/>
    <mergeCell ref="B405:D405"/>
    <mergeCell ref="B412:D412"/>
    <mergeCell ref="M3:Q3"/>
    <mergeCell ref="B286:D286"/>
    <mergeCell ref="B293:D293"/>
    <mergeCell ref="B300:D300"/>
    <mergeCell ref="B307:D307"/>
    <mergeCell ref="B146:D146"/>
    <mergeCell ref="B153:D153"/>
    <mergeCell ref="B160:D160"/>
    <mergeCell ref="B167:D167"/>
    <mergeCell ref="B174:D174"/>
    <mergeCell ref="B181:D181"/>
    <mergeCell ref="B188:D188"/>
    <mergeCell ref="B195:D195"/>
    <mergeCell ref="B202:D202"/>
    <mergeCell ref="H139:J139"/>
    <mergeCell ref="H146:J146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cmdAtualizarKanban">
          <controlPr defaultSize="0" autoLine="0" r:id="rId5">
            <anchor moveWithCells="1">
              <from>
                <xdr:col>4</xdr:col>
                <xdr:colOff>190500</xdr:colOff>
                <xdr:row>0</xdr:row>
                <xdr:rowOff>209550</xdr:rowOff>
              </from>
              <to>
                <xdr:col>6</xdr:col>
                <xdr:colOff>152400</xdr:colOff>
                <xdr:row>0</xdr:row>
                <xdr:rowOff>457200</xdr:rowOff>
              </to>
            </anchor>
          </controlPr>
        </control>
      </mc:Choice>
      <mc:Fallback>
        <control shapeId="13314" r:id="rId4" name="cmdAtualizarKanban"/>
      </mc:Fallback>
    </mc:AlternateContent>
    <mc:AlternateContent xmlns:mc="http://schemas.openxmlformats.org/markup-compatibility/2006">
      <mc:Choice Requires="x14">
        <control shapeId="13317" r:id="rId6" name="chkRefreshKanban">
          <controlPr defaultSize="0" autoLine="0" r:id="rId7">
            <anchor moveWithCells="1">
              <from>
                <xdr:col>3</xdr:col>
                <xdr:colOff>352425</xdr:colOff>
                <xdr:row>0</xdr:row>
                <xdr:rowOff>28575</xdr:rowOff>
              </from>
              <to>
                <xdr:col>6</xdr:col>
                <xdr:colOff>447675</xdr:colOff>
                <xdr:row>0</xdr:row>
                <xdr:rowOff>257175</xdr:rowOff>
              </to>
            </anchor>
          </controlPr>
        </control>
      </mc:Choice>
      <mc:Fallback>
        <control shapeId="13317" r:id="rId6" name="chkRefreshKanba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6C7F2F49F070B42873F5C88EBFCC241" ma:contentTypeVersion="12" ma:contentTypeDescription="Crie um novo documento." ma:contentTypeScope="" ma:versionID="d27c2f00ec92cf4129aaf5fb65d1a817">
  <xsd:schema xmlns:xsd="http://www.w3.org/2001/XMLSchema" xmlns:xs="http://www.w3.org/2001/XMLSchema" xmlns:p="http://schemas.microsoft.com/office/2006/metadata/properties" xmlns:ns2="2799ab7e-3e72-4aca-9a4f-967a3d21c72f" xmlns:ns3="fa9ec3dd-ce0e-4c42-98c4-3f3692b6b412" targetNamespace="http://schemas.microsoft.com/office/2006/metadata/properties" ma:root="true" ma:fieldsID="a965a37fba1d4765cd066b98be3f350a" ns2:_="" ns3:_="">
    <xsd:import namespace="2799ab7e-3e72-4aca-9a4f-967a3d21c72f"/>
    <xsd:import namespace="fa9ec3dd-ce0e-4c42-98c4-3f3692b6b41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799ab7e-3e72-4aca-9a4f-967a3d21c72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Marcações de imagem" ma:readOnly="false" ma:fieldId="{5cf76f15-5ced-4ddc-b409-7134ff3c332f}" ma:taxonomyMulti="true" ma:sspId="3ebd722c-8eea-4fa2-a257-8118360c8ea8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a9ec3dd-ce0e-4c42-98c4-3f3692b6b412" elementFormDefault="qualified">
    <xsd:import namespace="http://schemas.microsoft.com/office/2006/documentManagement/types"/>
    <xsd:import namespace="http://schemas.microsoft.com/office/infopath/2007/PartnerControls"/>
    <xsd:element name="SharedWithUsers" ma:index="11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2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2799ab7e-3e72-4aca-9a4f-967a3d21c72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EED18FE7-97C7-4F6A-B43E-3A8000383A8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8B76188F-52D0-4A1F-BEC7-A6ED494BDF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799ab7e-3e72-4aca-9a4f-967a3d21c72f"/>
    <ds:schemaRef ds:uri="fa9ec3dd-ce0e-4c42-98c4-3f3692b6b41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03EDEBD-B4EA-46C3-9A15-F4A6BD69B075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E34BC161-FBC5-406A-85E0-F025E0FD18A9}">
  <ds:schemaRefs>
    <ds:schemaRef ds:uri="http://schemas.microsoft.com/office/2006/documentManagement/types"/>
    <ds:schemaRef ds:uri="fa9ec3dd-ce0e-4c42-98c4-3f3692b6b412"/>
    <ds:schemaRef ds:uri="http://purl.org/dc/terms/"/>
    <ds:schemaRef ds:uri="http://purl.org/dc/elements/1.1/"/>
    <ds:schemaRef ds:uri="http://purl.org/dc/dcmitype/"/>
    <ds:schemaRef ds:uri="http://schemas.microsoft.com/office/2006/metadata/properties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2799ab7e-3e72-4aca-9a4f-967a3d21c72f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14</vt:i4>
      </vt:variant>
    </vt:vector>
  </HeadingPairs>
  <TitlesOfParts>
    <vt:vector size="14" baseType="lpstr">
      <vt:lpstr>Home</vt:lpstr>
      <vt:lpstr>Colors</vt:lpstr>
      <vt:lpstr>Summary</vt:lpstr>
      <vt:lpstr>Dashboard</vt:lpstr>
      <vt:lpstr>LayoutCardKanban</vt:lpstr>
      <vt:lpstr>Parametros</vt:lpstr>
      <vt:lpstr>Feriados</vt:lpstr>
      <vt:lpstr>CalendarioRelease</vt:lpstr>
      <vt:lpstr>Backlog</vt:lpstr>
      <vt:lpstr>Squad</vt:lpstr>
      <vt:lpstr>PreviaPlanning</vt:lpstr>
      <vt:lpstr>DataTarefas</vt:lpstr>
      <vt:lpstr>Planning</vt:lpstr>
      <vt:lpstr>KanbanBoard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Vieira Scandoleiro, Claudemir</dc:creator>
  <cp:lastModifiedBy>Vieira Scandoleiro, Claudemir</cp:lastModifiedBy>
  <cp:lastPrinted>2023-10-31T19:04:36Z</cp:lastPrinted>
  <dcterms:created xsi:type="dcterms:W3CDTF">2023-03-27T21:36:47Z</dcterms:created>
  <dcterms:modified xsi:type="dcterms:W3CDTF">2025-03-12T11:27:50Z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0x010100B3561E064AE78640BDA453282DE3C619</vt:lpwstr>
  </property>
  <property fmtid="{D5CDD505-2E9C-101B-9397-08002B2CF9AE}" pid="3" name="MediaServiceImageTags">
    <vt:lpwstr/>
  </property>
</Properties>
</file>